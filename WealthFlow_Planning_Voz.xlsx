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2" autoFilterDateGrouping="1"/>
  </bookViews>
  <sheets>
    <sheet xmlns:r="http://schemas.openxmlformats.org/officeDocument/2006/relationships" name="PhanCong" sheetId="1" state="visible" r:id="rId1"/>
    <sheet xmlns:r="http://schemas.openxmlformats.org/officeDocument/2006/relationships" name="TongQuan" sheetId="2" state="visible" r:id="rId2"/>
    <sheet xmlns:r="http://schemas.openxmlformats.org/officeDocument/2006/relationships" name="VaiTro_RACI" sheetId="3" state="visible" r:id="rId3"/>
    <sheet xmlns:r="http://schemas.openxmlformats.org/officeDocument/2006/relationships" name="YeuCau" sheetId="4" state="visible" r:id="rId4"/>
    <sheet xmlns:r="http://schemas.openxmlformats.org/officeDocument/2006/relationships" name="KienTruc_CSDL" sheetId="5" state="visible" r:id="rId5"/>
    <sheet xmlns:r="http://schemas.openxmlformats.org/officeDocument/2006/relationships" name="KiemThu" sheetId="6" state="visible" r:id="rId6"/>
    <sheet xmlns:r="http://schemas.openxmlformats.org/officeDocument/2006/relationships" name="Sprint" sheetId="7" state="visible" r:id="rId7"/>
    <sheet xmlns:r="http://schemas.openxmlformats.org/officeDocument/2006/relationships" name="TaiLieu_Git" sheetId="8" state="visible" r:id="rId8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rlito"/>
      <sz val="11"/>
    </font>
    <font>
      <name val="Carlito"/>
      <b val="1"/>
      <color rgb="FFFFFFFF"/>
      <sz val="16"/>
    </font>
    <font>
      <name val="Carlito"/>
      <color rgb="FF526579"/>
      <sz val="10"/>
    </font>
    <font>
      <name val="Carlito"/>
      <b val="1"/>
      <color rgb="FFFFFFFF"/>
      <sz val="10"/>
    </font>
    <font>
      <name val="Aptos"/>
      <color rgb="FF18324A"/>
      <sz val="10"/>
    </font>
    <font>
      <name val="Carlito"/>
      <b val="1"/>
      <color rgb="FFFFFFFF"/>
      <sz val="9"/>
    </font>
    <font>
      <name val="Carlito"/>
      <b val="1"/>
      <color rgb="FF18324A"/>
      <sz val="20"/>
    </font>
    <font>
      <name val="Carlito"/>
      <color rgb="FF18324A"/>
      <sz val="10"/>
    </font>
    <font>
      <name val="Aptos"/>
      <b val="1"/>
      <color rgb="FF18324A"/>
      <sz val="10"/>
    </font>
    <font>
      <name val="Carlito"/>
      <sz val="11"/>
    </font>
  </fonts>
  <fills count="8">
    <fill>
      <patternFill/>
    </fill>
    <fill>
      <patternFill patternType="gray125"/>
    </fill>
    <fill>
      <patternFill patternType="solid">
        <fgColor rgb="FF10263E"/>
      </patternFill>
    </fill>
    <fill>
      <patternFill patternType="solid">
        <fgColor rgb="FFEAF2F8"/>
      </patternFill>
    </fill>
    <fill>
      <patternFill patternType="solid">
        <fgColor rgb="FF183A57"/>
      </patternFill>
    </fill>
    <fill>
      <patternFill patternType="solid">
        <fgColor rgb="FFF4F8FB"/>
      </patternFill>
    </fill>
    <fill>
      <patternFill patternType="solid">
        <fgColor rgb="FFFFF2CF"/>
      </patternFill>
    </fill>
    <fill>
      <patternFill patternType="solid">
        <fgColor rgb="FFF3F8FB"/>
      </patternFill>
    </fill>
  </fills>
  <borders count="1">
    <border>
      <left/>
      <right/>
      <top/>
      <bottom/>
      <diagonal/>
    </border>
  </borders>
  <cellStyleXfs count="2">
    <xf numFmtId="0" fontId="9" fillId="0" borderId="0"/>
    <xf numFmtId="0" fontId="9" fillId="0" borderId="0"/>
  </cellStyleXfs>
  <cellXfs count="21">
    <xf numFmtId="0" fontId="0" fillId="0" borderId="0" pivotButton="0" quotePrefix="0" xfId="0"/>
    <xf numFmtId="0" fontId="3" fillId="4" borderId="0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4" fillId="5" borderId="0" applyAlignment="1" pivotButton="0" quotePrefix="0" xfId="1">
      <alignment vertical="center" wrapText="1"/>
    </xf>
    <xf numFmtId="14" fontId="4" fillId="0" borderId="0" applyAlignment="1" pivotButton="0" quotePrefix="0" xfId="1">
      <alignment vertical="center" wrapText="1"/>
    </xf>
    <xf numFmtId="14" fontId="4" fillId="5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64" fontId="4" fillId="5" borderId="0" applyAlignment="1" pivotButton="0" quotePrefix="0" xfId="1">
      <alignment vertical="center" wrapText="1"/>
    </xf>
    <xf numFmtId="9" fontId="4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0" fontId="4" fillId="7" borderId="0" applyAlignment="1" pivotButton="0" quotePrefix="0" xfId="1">
      <alignment vertical="center" wrapText="1"/>
    </xf>
    <xf numFmtId="0" fontId="1" fillId="2" borderId="0" applyAlignment="1" pivotButton="0" quotePrefix="0" xfId="1">
      <alignment vertical="center"/>
    </xf>
    <xf numFmtId="0" fontId="2" fillId="3" borderId="0" applyAlignment="1" pivotButton="0" quotePrefix="0" xfId="1">
      <alignment vertical="center" wrapText="1"/>
    </xf>
    <xf numFmtId="0" fontId="7" fillId="6" borderId="0" applyAlignment="1" pivotButton="0" quotePrefix="0" xfId="1">
      <alignment wrapText="1"/>
    </xf>
    <xf numFmtId="0" fontId="7" fillId="3" borderId="0" applyAlignment="1" pivotButton="0" quotePrefix="0" xfId="1">
      <alignment wrapText="1"/>
    </xf>
    <xf numFmtId="0" fontId="0" fillId="0" borderId="0" pivotButton="0" quotePrefix="0" xfId="0"/>
    <xf numFmtId="9" fontId="6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horizontal="center" vertical="center"/>
    </xf>
    <xf numFmtId="0" fontId="3" fillId="4" borderId="0" applyAlignment="1" pivotButton="0" quotePrefix="0" xfId="1">
      <alignment vertical="center"/>
    </xf>
    <xf numFmtId="0" fontId="5" fillId="4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6">
    <dxf>
      <font>
        <color rgb="FF9F1239"/>
      </font>
      <fill>
        <patternFill patternType="solid">
          <bgColor rgb="FFFEE9E8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EF7E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WealthFlowTasks" displayName="WealthFlowTasks" ref="A3:P57" headerRowCount="1" totalsRowShown="0">
  <tableColumns count="16">
    <tableColumn id="1" name="ID"/>
    <tableColumn id="2" name="Phân hệ"/>
    <tableColumn id="3" name="Công việc"/>
    <tableColumn id="4" name="Mô tả chi tiết &amp; tiêu chí nghiệm thu (DoD)"/>
    <tableColumn id="5" name="Người phụ trách"/>
    <tableColumn id="6" name="Người review"/>
    <tableColumn id="7" name="Ưu tiên"/>
    <tableColumn id="8" name="Trạng thái"/>
    <tableColumn id="9" name="Sprint"/>
    <tableColumn id="10" name="Bắt đầu"/>
    <tableColumn id="11" name="Hạn cuối"/>
    <tableColumn id="12" name="Tiến độ (%)"/>
    <tableColumn id="13" name="Phụ thuộc"/>
    <tableColumn id="14" name="File/API / tài liệu bàn giao"/>
    <tableColumn id="15" name="Link PR / minh chứng"/>
    <tableColumn id="16" name="Căn cứ &amp; 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lthFlowTests" displayName="WealthFlowTests" ref="A3:J31" headerRowCount="1" totalsRowShown="0">
  <tableColumns count="10">
    <tableColumn id="1" name="Test ID"/>
    <tableColumn id="2" name="Liên kết FR"/>
    <tableColumn id="3" name="Kịch bản"/>
    <tableColumn id="4" name="Bước kiểm thử"/>
    <tableColumn id="5" name="Kết quả mong đợi"/>
    <tableColumn id="6" name="Thực hiện"/>
    <tableColumn id="7" name="Người xác nhận"/>
    <tableColumn id="8" name="Ưu tiên"/>
    <tableColumn id="9" name="Kết quả"/>
    <tableColumn id="10" name="Link minh chứng / ngà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3" topLeftCell="A4" activePane="bottomLeft" state="frozen"/>
      <selection pane="bottomLeft" activeCell="E15" sqref="E15"/>
    </sheetView>
  </sheetViews>
  <sheetFormatPr baseColWidth="8" defaultRowHeight="15"/>
  <cols>
    <col width="13" customWidth="1" style="16" min="1" max="1"/>
    <col width="23" customWidth="1" style="16" min="2" max="2"/>
    <col width="37" customWidth="1" style="16" min="3" max="3"/>
    <col width="86" customWidth="1" style="16" min="4" max="4"/>
    <col width="27" customWidth="1" style="16" min="5" max="6"/>
    <col width="10" customWidth="1" style="16" min="7" max="7"/>
    <col width="17" customWidth="1" style="16" min="8" max="8"/>
    <col width="10" customWidth="1" style="16" min="9" max="9"/>
    <col width="15" customWidth="1" style="16" min="10" max="11"/>
    <col width="14" customWidth="1" style="16" min="12" max="12"/>
    <col width="24" customWidth="1" style="16" min="13" max="13"/>
    <col width="56" customWidth="1" style="16" min="14" max="14"/>
    <col width="28" customWidth="1" style="16" min="15" max="15"/>
    <col width="55" customWidth="1" style="16" min="16" max="16"/>
  </cols>
  <sheetData>
    <row r="1" ht="39" customHeight="1" s="16">
      <c r="A1" s="12" t="inlineStr">
        <is>
          <t>WEALTHFLOW  |  PHÂN CÔNG TASK &amp; TRACKING</t>
        </is>
      </c>
    </row>
    <row r="2" ht="29.1" customHeight="1" s="16">
      <c r="A2" s="13" t="inlineStr">
        <is>
          <t>54 công việc có chủ sở hữu — cập nhật cột H (trạng thái), L (tiến độ %), O (PR/bằng chứng). Thời gian 19/10–15/11/2026 là KẾ HOẠCH ĐỀ XUẤT.</t>
        </is>
      </c>
    </row>
    <row r="3" ht="32.1" customHeight="1" s="16">
      <c r="A3" s="1" t="inlineStr">
        <is>
          <t>ID</t>
        </is>
      </c>
      <c r="B3" s="1" t="inlineStr">
        <is>
          <t>Phân hệ</t>
        </is>
      </c>
      <c r="C3" s="1" t="inlineStr">
        <is>
          <t>Công việc</t>
        </is>
      </c>
      <c r="D3" s="1" t="inlineStr">
        <is>
          <t>Mô tả chi tiết &amp; tiêu chí nghiệm thu (DoD)</t>
        </is>
      </c>
      <c r="E3" s="1" t="inlineStr">
        <is>
          <t>Người phụ trách</t>
        </is>
      </c>
      <c r="F3" s="1" t="inlineStr">
        <is>
          <t>Người review</t>
        </is>
      </c>
      <c r="G3" s="1" t="inlineStr">
        <is>
          <t>Ưu tiên</t>
        </is>
      </c>
      <c r="H3" s="1" t="inlineStr">
        <is>
          <t>Trạng thái</t>
        </is>
      </c>
      <c r="I3" s="1" t="inlineStr">
        <is>
          <t>Sprint</t>
        </is>
      </c>
      <c r="J3" s="1" t="inlineStr">
        <is>
          <t>Bắt đầu</t>
        </is>
      </c>
      <c r="K3" s="1" t="inlineStr">
        <is>
          <t>Hạn cuối</t>
        </is>
      </c>
      <c r="L3" s="1" t="inlineStr">
        <is>
          <t>Tiến độ (%)</t>
        </is>
      </c>
      <c r="M3" s="1" t="inlineStr">
        <is>
          <t>Phụ thuộc</t>
        </is>
      </c>
      <c r="N3" s="1" t="inlineStr">
        <is>
          <t>File/API / tài liệu bàn giao</t>
        </is>
      </c>
      <c r="O3" s="1" t="inlineStr">
        <is>
          <t>Link PR / minh chứng</t>
        </is>
      </c>
      <c r="P3" s="1" t="inlineStr">
        <is>
          <t>Căn cứ &amp; ghi chú</t>
        </is>
      </c>
    </row>
    <row r="4" ht="50.1" customHeight="1" s="16">
      <c r="A4" s="2" t="inlineStr">
        <is>
          <t>LEAD-01</t>
        </is>
      </c>
      <c r="B4" s="2" t="inlineStr">
        <is>
          <t>Tích hợp &amp; bảo mật</t>
        </is>
      </c>
      <c r="C4" s="2" t="inlineStr">
        <is>
          <t>Rà soát repo, baseline chức năng</t>
        </is>
      </c>
      <c r="D4" s="2" t="inlineStr">
        <is>
          <t>Chạy project và chụp màn hình từng trang; đối chiếu thực tế UI/API/MySQL; lập bảng Demo / API-ready / E2E; ghi commit SHA được rà soát.</t>
        </is>
      </c>
      <c r="E4" s="2" t="inlineStr">
        <is>
          <t>Võ Trịnh Quốc Huy</t>
        </is>
      </c>
      <c r="F4" s="2" t="inlineStr">
        <is>
          <t>Nguyễn Thành Trung</t>
        </is>
      </c>
      <c r="G4" s="2" t="inlineStr">
        <is>
          <t>P1</t>
        </is>
      </c>
      <c r="H4" s="2" t="inlineStr">
        <is>
          <t>To Do</t>
        </is>
      </c>
      <c r="I4" s="2" t="inlineStr">
        <is>
          <t>S1</t>
        </is>
      </c>
      <c r="J4" s="4" t="n">
        <v>46314</v>
      </c>
      <c r="K4" s="4" t="n">
        <v>46320</v>
      </c>
      <c r="L4" s="6" t="n">
        <v>0</v>
      </c>
      <c r="M4" s="2" t="inlineStr">
        <is>
          <t>—</t>
        </is>
      </c>
      <c r="N4" s="2" t="inlineStr">
        <is>
          <t>docs/implementation-status.md</t>
        </is>
      </c>
      <c r="O4" s="2" t="n"/>
      <c r="P4" s="2" t="inlineStr">
        <is>
          <t>README xác nhận frontend một số phân hệ còn demo.</t>
        </is>
      </c>
    </row>
    <row r="5" ht="50.1" customHeight="1" s="16">
      <c r="A5" s="3" t="inlineStr">
        <is>
          <t>LEAD-02</t>
        </is>
      </c>
      <c r="B5" s="3" t="inlineStr">
        <is>
          <t>Tích hợp &amp; bảo mật</t>
        </is>
      </c>
      <c r="C5" s="3" t="inlineStr">
        <is>
          <t>Chốt kiến trúc module và API contract</t>
        </is>
      </c>
      <c r="D5" s="3" t="inlineStr">
        <is>
          <t>Chuẩn hóa router, envelope JSON, HTTP status, validation, auth middleware; thống nhất cách mỗi dev gọi API và nhận lỗi.</t>
        </is>
      </c>
      <c r="E5" s="3" t="inlineStr">
        <is>
          <t>Võ Trịnh Quốc Huy</t>
        </is>
      </c>
      <c r="F5" s="3" t="inlineStr">
        <is>
          <t>Võ Văn Khôi Nguyên</t>
        </is>
      </c>
      <c r="G5" s="3" t="inlineStr">
        <is>
          <t>P1</t>
        </is>
      </c>
      <c r="H5" s="3" t="inlineStr">
        <is>
          <t>To Do</t>
        </is>
      </c>
      <c r="I5" s="3" t="inlineStr">
        <is>
          <t>S1</t>
        </is>
      </c>
      <c r="J5" s="5" t="n">
        <v>46314</v>
      </c>
      <c r="K5" s="5" t="n">
        <v>46320</v>
      </c>
      <c r="L5" s="7" t="n">
        <v>0</v>
      </c>
      <c r="M5" s="3" t="inlineStr">
        <is>
          <t>LEAD-01,DB-01</t>
        </is>
      </c>
      <c r="N5" s="3" t="inlineStr">
        <is>
          <t>docs/api-contract.md; source/backend/</t>
        </is>
      </c>
      <c r="O5" s="3" t="n"/>
      <c r="P5" s="3" t="inlineStr">
        <is>
          <t>Thiết kế mới/chuẩn hóa, không giả định API nào đã có.</t>
        </is>
      </c>
    </row>
    <row r="6" ht="50.1" customHeight="1" s="16">
      <c r="A6" s="2" t="inlineStr">
        <is>
          <t>LEAD-03</t>
        </is>
      </c>
      <c r="B6" s="2" t="inlineStr">
        <is>
          <t>Tích hợp &amp; bảo mật</t>
        </is>
      </c>
      <c r="C6" s="2" t="inlineStr">
        <is>
          <t>Chuẩn hóa branch, PR và review</t>
        </is>
      </c>
      <c r="D6" s="2" t="inlineStr">
        <is>
          <t>Bảo vệ main; dùng feature/&lt;module&gt;-&lt;id&gt;; PR nêu bằng chứng test; không merge nếu thiếu review hoặc phá trang khác.</t>
        </is>
      </c>
      <c r="E6" s="2" t="inlineStr">
        <is>
          <t>Võ Trịnh Quốc Huy</t>
        </is>
      </c>
      <c r="F6" s="2" t="inlineStr">
        <is>
          <t>Phạm Nguyễn Tuấn Kiệt</t>
        </is>
      </c>
      <c r="G6" s="2" t="inlineStr">
        <is>
          <t>P1</t>
        </is>
      </c>
      <c r="H6" s="2" t="inlineStr">
        <is>
          <t>To Do</t>
        </is>
      </c>
      <c r="I6" s="2" t="inlineStr">
        <is>
          <t>S1</t>
        </is>
      </c>
      <c r="J6" s="4" t="n">
        <v>46314</v>
      </c>
      <c r="K6" s="4" t="n">
        <v>46320</v>
      </c>
      <c r="L6" s="6" t="n">
        <v>0</v>
      </c>
      <c r="M6" s="2" t="inlineStr">
        <is>
          <t>LEAD-01</t>
        </is>
      </c>
      <c r="N6" s="2" t="inlineStr">
        <is>
          <t>docs/git-workflow.md; .gitignore</t>
        </is>
      </c>
      <c r="O6" s="2" t="n"/>
      <c r="P6" s="2" t="inlineStr">
        <is>
          <t>Cần áp dụng trong nhóm.</t>
        </is>
      </c>
    </row>
    <row r="7" ht="50.1" customHeight="1" s="16">
      <c r="A7" s="3" t="inlineStr">
        <is>
          <t>LEAD-04</t>
        </is>
      </c>
      <c r="B7" s="3" t="inlineStr">
        <is>
          <t>Tích hợp &amp; bảo mật</t>
        </is>
      </c>
      <c r="C7" s="3" t="inlineStr">
        <is>
          <t>Rà soát auth, session và phân quyền</t>
        </is>
      </c>
      <c r="D7" s="3" t="inlineStr">
        <is>
          <t>Test đăng ký/đăng nhập/đăng xuất; session expiry; user chỉ xem dữ liệu của mình; Admin không xem giao dịch riêng.</t>
        </is>
      </c>
      <c r="E7" s="3" t="inlineStr">
        <is>
          <t>Võ Trịnh Quốc Huy</t>
        </is>
      </c>
      <c r="F7" s="3" t="inlineStr">
        <is>
          <t>Nguyễn Thành Trung</t>
        </is>
      </c>
      <c r="G7" s="3" t="inlineStr">
        <is>
          <t>P1</t>
        </is>
      </c>
      <c r="H7" s="3" t="inlineStr">
        <is>
          <t>To Do</t>
        </is>
      </c>
      <c r="I7" s="3" t="inlineStr">
        <is>
          <t>S1</t>
        </is>
      </c>
      <c r="J7" s="5" t="n">
        <v>46314</v>
      </c>
      <c r="K7" s="5" t="n">
        <v>46320</v>
      </c>
      <c r="L7" s="7" t="n">
        <v>0</v>
      </c>
      <c r="M7" s="3" t="inlineStr">
        <is>
          <t>DB-01</t>
        </is>
      </c>
      <c r="N7" s="3" t="inlineStr">
        <is>
          <t>source/backend/; source/frontend/js/services/auth-api.js</t>
        </is>
      </c>
      <c r="O7" s="3" t="n"/>
      <c r="P7" s="3" t="inlineStr">
        <is>
          <t>Auth được README mô tả, cần test E2E.</t>
        </is>
      </c>
    </row>
    <row r="8" ht="50.1" customHeight="1" s="16">
      <c r="A8" s="2" t="inlineStr">
        <is>
          <t>LEAD-05</t>
        </is>
      </c>
      <c r="B8" s="2" t="inlineStr">
        <is>
          <t>Tích hợp &amp; bảo mật</t>
        </is>
      </c>
      <c r="C8" s="2" t="inlineStr">
        <is>
          <t>Kiểm thử OTP và đặt lại mật khẩu</t>
        </is>
      </c>
      <c r="D8" s="2" t="inlineStr">
        <is>
          <t>Kiểm OTP 10 phút, tối đa 5 lần theo tài liệu; reset làm vô hiệu hóa mật khẩu cũ; không tiết lộ email tồn tại.</t>
        </is>
      </c>
      <c r="E8" s="2" t="inlineStr">
        <is>
          <t>Võ Trịnh Quốc Huy</t>
        </is>
      </c>
      <c r="F8" s="2" t="inlineStr">
        <is>
          <t>Nguyễn Thành Trung</t>
        </is>
      </c>
      <c r="G8" s="2" t="inlineStr">
        <is>
          <t>P1</t>
        </is>
      </c>
      <c r="H8" s="2" t="inlineStr">
        <is>
          <t>To Do</t>
        </is>
      </c>
      <c r="I8" s="2" t="inlineStr">
        <is>
          <t>S1</t>
        </is>
      </c>
      <c r="J8" s="4" t="n">
        <v>46314</v>
      </c>
      <c r="K8" s="4" t="n">
        <v>46320</v>
      </c>
      <c r="L8" s="6" t="n">
        <v>0</v>
      </c>
      <c r="M8" s="2" t="inlineStr">
        <is>
          <t>LEAD-04</t>
        </is>
      </c>
      <c r="N8" s="2" t="inlineStr">
        <is>
          <t>source/backend/; source/frontend/js/landing/main.js</t>
        </is>
      </c>
      <c r="O8" s="2" t="n"/>
      <c r="P8" s="2" t="inlineStr">
        <is>
          <t>Local email .eml, SMTP thật không phải điều kiện test.</t>
        </is>
      </c>
    </row>
    <row r="9" ht="50.1" customHeight="1" s="16">
      <c r="A9" s="3" t="inlineStr">
        <is>
          <t>DB-01</t>
        </is>
      </c>
      <c r="B9" s="3" t="inlineStr">
        <is>
          <t>Database &amp; tài liệu</t>
        </is>
      </c>
      <c r="C9" s="3" t="inlineStr">
        <is>
          <t>Kiểm kê schema/migration hiện có</t>
        </is>
      </c>
      <c r="D9" s="3" t="inlineStr">
        <is>
          <t>Liệt kê bảng, FK/index, version migration; đối chiếu tên thật từ 001_initial_schema.sql; không sửa DB trước khi backup.</t>
        </is>
      </c>
      <c r="E9" s="3" t="inlineStr">
        <is>
          <t>Nguyễn Thành Trung</t>
        </is>
      </c>
      <c r="F9" s="3" t="inlineStr">
        <is>
          <t>Võ Trịnh Quốc Huy</t>
        </is>
      </c>
      <c r="G9" s="3" t="inlineStr">
        <is>
          <t>P1</t>
        </is>
      </c>
      <c r="H9" s="3" t="inlineStr">
        <is>
          <t>To Do</t>
        </is>
      </c>
      <c r="I9" s="3" t="inlineStr">
        <is>
          <t>S1</t>
        </is>
      </c>
      <c r="J9" s="5" t="n">
        <v>46314</v>
      </c>
      <c r="K9" s="5" t="n">
        <v>46320</v>
      </c>
      <c r="L9" s="7" t="n">
        <v>0</v>
      </c>
      <c r="M9" s="3" t="inlineStr">
        <is>
          <t>LEAD-01</t>
        </is>
      </c>
      <c r="N9" s="3" t="inlineStr">
        <is>
          <t>docs/data-dictionary.md</t>
        </is>
      </c>
      <c r="O9" s="3" t="n"/>
      <c r="P9" s="3" t="inlineStr">
        <is>
          <t>Schema chính xác phải lấy từ SQL gốc.</t>
        </is>
      </c>
    </row>
    <row r="10" ht="50.1" customHeight="1" s="16">
      <c r="A10" s="2" t="inlineStr">
        <is>
          <t>DB-02</t>
        </is>
      </c>
      <c r="B10" s="2" t="inlineStr">
        <is>
          <t>Database &amp; tài liệu</t>
        </is>
      </c>
      <c r="C10" s="2" t="inlineStr">
        <is>
          <t>ERD chuẩn và quan hệ per-user</t>
        </is>
      </c>
      <c r="D10" s="2" t="inlineStr">
        <is>
          <t>ERD wallet, category, ledger, budget, recurring, goal, loan, gold, notification; mọi dữ liệu tài chính thuộc user; PK/FK rõ.</t>
        </is>
      </c>
      <c r="E10" s="2" t="inlineStr">
        <is>
          <t>Nguyễn Thành Trung</t>
        </is>
      </c>
      <c r="F10" s="2" t="inlineStr">
        <is>
          <t>Võ Trịnh Quốc Huy</t>
        </is>
      </c>
      <c r="G10" s="2" t="inlineStr">
        <is>
          <t>P1</t>
        </is>
      </c>
      <c r="H10" s="2" t="inlineStr">
        <is>
          <t>To Do</t>
        </is>
      </c>
      <c r="I10" s="2" t="inlineStr">
        <is>
          <t>S1</t>
        </is>
      </c>
      <c r="J10" s="4" t="n">
        <v>46314</v>
      </c>
      <c r="K10" s="4" t="n">
        <v>46320</v>
      </c>
      <c r="L10" s="6" t="n">
        <v>0</v>
      </c>
      <c r="M10" s="2" t="inlineStr">
        <is>
          <t>DB-01</t>
        </is>
      </c>
      <c r="N10" s="2" t="inlineStr">
        <is>
          <t>docs/erd.mmd; docs/erd.png</t>
        </is>
      </c>
      <c r="O10" s="2" t="n"/>
      <c r="P10" s="2" t="inlineStr">
        <is>
          <t>Một số bảng mở rộng là đề xuất cần xác nhận.</t>
        </is>
      </c>
    </row>
    <row r="11" ht="50.1" customHeight="1" s="16">
      <c r="A11" s="3" t="inlineStr">
        <is>
          <t>DB-03</t>
        </is>
      </c>
      <c r="B11" s="3" t="inlineStr">
        <is>
          <t>Database &amp; tài liệu</t>
        </is>
      </c>
      <c r="C11" s="3" t="inlineStr">
        <is>
          <t>Data dictionary và ràng buộc SQL</t>
        </is>
      </c>
      <c r="D11" s="3" t="inlineStr">
        <is>
          <t>Mô tả trường, kiểu, NOT NULL, UNIQUE, FK, CHECK ứng dụng; money DECIMAL, timestamps, soft archive; kỳ ngân sách uniqueness.</t>
        </is>
      </c>
      <c r="E11" s="3" t="inlineStr">
        <is>
          <t>Nguyễn Thành Trung</t>
        </is>
      </c>
      <c r="F11" s="3" t="inlineStr">
        <is>
          <t>Võ Văn Khôi Nguyên</t>
        </is>
      </c>
      <c r="G11" s="3" t="inlineStr">
        <is>
          <t>P1</t>
        </is>
      </c>
      <c r="H11" s="3" t="inlineStr">
        <is>
          <t>To Do</t>
        </is>
      </c>
      <c r="I11" s="3" t="inlineStr">
        <is>
          <t>S1</t>
        </is>
      </c>
      <c r="J11" s="5" t="n">
        <v>46314</v>
      </c>
      <c r="K11" s="5" t="n">
        <v>46320</v>
      </c>
      <c r="L11" s="7" t="n">
        <v>0</v>
      </c>
      <c r="M11" s="3" t="inlineStr">
        <is>
          <t>DB-01</t>
        </is>
      </c>
      <c r="N11" s="3" t="inlineStr">
        <is>
          <t>docs/data-dictionary.md</t>
        </is>
      </c>
      <c r="O11" s="3" t="n"/>
      <c r="P11" s="3" t="inlineStr">
        <is>
          <t>Dùng tên bảng thực tế; không tự ý reset.</t>
        </is>
      </c>
    </row>
    <row r="12" ht="50.1" customHeight="1" s="16">
      <c r="A12" s="2" t="inlineStr">
        <is>
          <t>DB-04</t>
        </is>
      </c>
      <c r="B12" s="2" t="inlineStr">
        <is>
          <t>Database &amp; tài liệu</t>
        </is>
      </c>
      <c r="C12" s="2" t="inlineStr">
        <is>
          <t>Seed test độc lập và an toàn</t>
        </is>
      </c>
      <c r="D12" s="2" t="inlineStr">
        <is>
          <t>Tạo ít nhất 2 user, 2 ví/user, 10 giao dịch đa loại, 3 ngân sách, 2 lịch định kỳ; import không DROP dữ liệu production.</t>
        </is>
      </c>
      <c r="E12" s="2" t="inlineStr">
        <is>
          <t>Nguyễn Thành Trung</t>
        </is>
      </c>
      <c r="F12" s="2" t="inlineStr">
        <is>
          <t>Võ Văn Khôi Nguyên</t>
        </is>
      </c>
      <c r="G12" s="2" t="inlineStr">
        <is>
          <t>P1</t>
        </is>
      </c>
      <c r="H12" s="2" t="inlineStr">
        <is>
          <t>To Do</t>
        </is>
      </c>
      <c r="I12" s="2" t="inlineStr">
        <is>
          <t>S1</t>
        </is>
      </c>
      <c r="J12" s="4" t="n">
        <v>46314</v>
      </c>
      <c r="K12" s="4" t="n">
        <v>46320</v>
      </c>
      <c r="L12" s="6" t="n">
        <v>0</v>
      </c>
      <c r="M12" s="2" t="inlineStr">
        <is>
          <t>DB-01</t>
        </is>
      </c>
      <c r="N12" s="2" t="inlineStr">
        <is>
          <t>source/database/seed_demo.sql</t>
        </is>
      </c>
      <c r="O12" s="2" t="n"/>
      <c r="P12" s="2" t="inlineStr">
        <is>
          <t>Dữ liệu thử không chứa email/mật khẩu thật.</t>
        </is>
      </c>
    </row>
    <row r="13" ht="50.1" customHeight="1" s="16">
      <c r="A13" s="3" t="inlineStr">
        <is>
          <t>TX-01</t>
        </is>
      </c>
      <c r="B13" s="3" t="inlineStr">
        <is>
          <t>Ví &amp; giao dịch</t>
        </is>
      </c>
      <c r="C13" s="3" t="inlineStr">
        <is>
          <t>Chốt giao kèo ví + giao dịch</t>
        </is>
      </c>
      <c r="D13" s="3" t="inlineStr">
        <is>
          <t>Liệt kê endpoint cần cho UI wallets/transactions/categories; mapping response và validation; reuse WalletRepository/LedgerService.</t>
        </is>
      </c>
      <c r="E13" s="3" t="inlineStr">
        <is>
          <t>Võ Văn Khôi Nguyên</t>
        </is>
      </c>
      <c r="F13" s="3" t="inlineStr">
        <is>
          <t>Võ Trịnh Quốc Huy</t>
        </is>
      </c>
      <c r="G13" s="3" t="inlineStr">
        <is>
          <t>P1</t>
        </is>
      </c>
      <c r="H13" s="3" t="inlineStr">
        <is>
          <t>To Do</t>
        </is>
      </c>
      <c r="I13" s="3" t="inlineStr">
        <is>
          <t>S1</t>
        </is>
      </c>
      <c r="J13" s="5" t="n">
        <v>46314</v>
      </c>
      <c r="K13" s="5" t="n">
        <v>46320</v>
      </c>
      <c r="L13" s="7" t="n">
        <v>0</v>
      </c>
      <c r="M13" s="3" t="inlineStr">
        <is>
          <t>LEAD-02,DB-01</t>
        </is>
      </c>
      <c r="N13" s="3" t="inlineStr">
        <is>
          <t>docs/api-transactions.md</t>
        </is>
      </c>
      <c r="O13" s="3" t="n"/>
      <c r="P13" s="3" t="inlineStr">
        <is>
          <t>Backend ledger có test SQLite; E2E MySQL chưa xác nhận.</t>
        </is>
      </c>
    </row>
    <row r="14" ht="50.1" customHeight="1" s="16">
      <c r="A14" s="2" t="inlineStr">
        <is>
          <t>TX-02</t>
        </is>
      </c>
      <c r="B14" s="2" t="inlineStr">
        <is>
          <t>Ví &amp; giao dịch</t>
        </is>
      </c>
      <c r="C14" s="2" t="inlineStr">
        <is>
          <t>Ví: CRUD + lưu trữ có điều kiện</t>
        </is>
      </c>
      <c r="D14" s="2" t="inlineStr">
        <is>
          <t>Tạo/sửa/xem ví; kiểm tra chủ sở hữu; chỉ lưu trữ khi balance=0 và không ràng buộc lịch active; reload vẫn có dữ liệu.</t>
        </is>
      </c>
      <c r="E14" s="2" t="inlineStr">
        <is>
          <t>Võ Văn Khôi Nguyên</t>
        </is>
      </c>
      <c r="F14" s="2" t="inlineStr">
        <is>
          <t>Nguyễn Thành Trung</t>
        </is>
      </c>
      <c r="G14" s="2" t="inlineStr">
        <is>
          <t>P1</t>
        </is>
      </c>
      <c r="H14" s="2" t="inlineStr">
        <is>
          <t>To Do</t>
        </is>
      </c>
      <c r="I14" s="2" t="inlineStr">
        <is>
          <t>S1</t>
        </is>
      </c>
      <c r="J14" s="4" t="n">
        <v>46314</v>
      </c>
      <c r="K14" s="4" t="n">
        <v>46320</v>
      </c>
      <c r="L14" s="6" t="n">
        <v>0</v>
      </c>
      <c r="M14" s="2" t="inlineStr">
        <is>
          <t>TX-01,DB-04</t>
        </is>
      </c>
      <c r="N14" s="2" t="inlineStr">
        <is>
          <t>source/backend/; source/frontend/js/app/pages.js</t>
        </is>
      </c>
      <c r="O14" s="2" t="n"/>
      <c r="P14" s="2" t="inlineStr">
        <is>
          <t>Trang Ví đang có fixtures.</t>
        </is>
      </c>
    </row>
    <row r="15" ht="50.1" customHeight="1" s="16">
      <c r="A15" s="3" t="inlineStr">
        <is>
          <t>TX-03</t>
        </is>
      </c>
      <c r="B15" s="3" t="inlineStr">
        <is>
          <t>Ví &amp; giao dịch</t>
        </is>
      </c>
      <c r="C15" s="3" t="inlineStr">
        <is>
          <t>Danh mục cá nhân và mặc định</t>
        </is>
      </c>
      <c r="D15" s="3" t="inlineStr">
        <is>
          <t>Tạo/đổi tên/lưu trữ danh mục; phân biệt income/expense; không xóa danh mục đã có giao dịch; filter hoạt động.</t>
        </is>
      </c>
      <c r="E15" s="3" t="inlineStr">
        <is>
          <t>Võ Văn Khôi Nguyên</t>
        </is>
      </c>
      <c r="F15" s="3" t="inlineStr">
        <is>
          <t>Nguyễn Thành Trung</t>
        </is>
      </c>
      <c r="G15" s="3" t="inlineStr">
        <is>
          <t>P1</t>
        </is>
      </c>
      <c r="H15" s="3" t="inlineStr">
        <is>
          <t>To Do</t>
        </is>
      </c>
      <c r="I15" s="3" t="inlineStr">
        <is>
          <t>S1</t>
        </is>
      </c>
      <c r="J15" s="5" t="n">
        <v>46314</v>
      </c>
      <c r="K15" s="5" t="n">
        <v>46320</v>
      </c>
      <c r="L15" s="7" t="n">
        <v>0</v>
      </c>
      <c r="M15" s="3" t="inlineStr">
        <is>
          <t>TX-01,DB-04</t>
        </is>
      </c>
      <c r="N15" s="3" t="inlineStr">
        <is>
          <t>source/backend/; source/frontend/js/app/pages.js</t>
        </is>
      </c>
      <c r="O15" s="3" t="n"/>
      <c r="P15" s="3" t="inlineStr">
        <is>
          <t>UI categories đã có mẫu.</t>
        </is>
      </c>
    </row>
    <row r="16" ht="50.1" customHeight="1" s="16">
      <c r="A16" s="2" t="inlineStr">
        <is>
          <t>PLAN-01</t>
        </is>
      </c>
      <c r="B16" s="2" t="inlineStr">
        <is>
          <t>Ngân sách &amp; tài sản</t>
        </is>
      </c>
      <c r="C16" s="2" t="inlineStr">
        <is>
          <t>Khảo sát phần backend ngân sách có sẵn</t>
        </is>
      </c>
      <c r="D16" s="2" t="inlineStr">
        <is>
          <t>Kiểm tra BudgetService/Repository và endpoint đang gọi; xác nhận 80/100%, net spend và tránh cảnh báo trùng.</t>
        </is>
      </c>
      <c r="E16" s="2" t="inlineStr">
        <is>
          <t>Phạm Nguyễn Tuấn Kiệt</t>
        </is>
      </c>
      <c r="F16" s="2" t="inlineStr">
        <is>
          <t>Võ Trịnh Quốc Huy</t>
        </is>
      </c>
      <c r="G16" s="2" t="inlineStr">
        <is>
          <t>P1</t>
        </is>
      </c>
      <c r="H16" s="2" t="inlineStr">
        <is>
          <t>Done</t>
        </is>
      </c>
      <c r="I16" s="2" t="inlineStr">
        <is>
          <t>S1</t>
        </is>
      </c>
      <c r="J16" s="4" t="n">
        <v>46314</v>
      </c>
      <c r="K16" s="4" t="n">
        <v>46320</v>
      </c>
      <c r="L16" s="6" t="n">
        <v>100</v>
      </c>
      <c r="M16" s="2" t="inlineStr">
        <is>
          <t>LEAD-02,DB-01</t>
        </is>
      </c>
      <c r="N16" s="2" t="inlineStr">
        <is>
          <t>docs/api-budgets.md</t>
        </is>
      </c>
      <c r="O16" s="2" t="inlineStr">
        <is>
          <t>branch feature/plan-tuan-kiet — docs/api-budgets.md (2026-10-18)</t>
        </is>
      </c>
      <c r="P16" s="2" t="inlineStr">
        <is>
          <t>Tests FR05 có phần logic; UI chưa chắc nối API.</t>
        </is>
      </c>
    </row>
    <row r="17" ht="50.1" customHeight="1" s="16">
      <c r="A17" s="3" t="inlineStr">
        <is>
          <t>PLAN-02</t>
        </is>
      </c>
      <c r="B17" s="3" t="inlineStr">
        <is>
          <t>Ngân sách &amp; tài sản</t>
        </is>
      </c>
      <c r="C17" s="3" t="inlineStr">
        <is>
          <t>Chốt mô hình khoản vay &amp; mục tiêu</t>
        </is>
      </c>
      <c r="D17" s="3" t="inlineStr">
        <is>
          <t>Viết rule principal/interest, khoản đi vay/cho vay, gắn mục tiêu tiết kiệm; phân biệt asset/liability; design API.</t>
        </is>
      </c>
      <c r="E17" s="3" t="inlineStr">
        <is>
          <t>Phạm Nguyễn Tuấn Kiệt</t>
        </is>
      </c>
      <c r="F17" s="3" t="inlineStr">
        <is>
          <t>Nguyễn Thành Trung</t>
        </is>
      </c>
      <c r="G17" s="3" t="inlineStr">
        <is>
          <t>P1</t>
        </is>
      </c>
      <c r="H17" s="3" t="inlineStr">
        <is>
          <t>Done</t>
        </is>
      </c>
      <c r="I17" s="3" t="inlineStr">
        <is>
          <t>S1</t>
        </is>
      </c>
      <c r="J17" s="5" t="n">
        <v>46314</v>
      </c>
      <c r="K17" s="5" t="n">
        <v>46320</v>
      </c>
      <c r="L17" s="7" t="n">
        <v>100</v>
      </c>
      <c r="M17" s="3" t="inlineStr">
        <is>
          <t>DB-02</t>
        </is>
      </c>
      <c r="N17" s="3" t="inlineStr">
        <is>
          <t>docs/finance-rules.md</t>
        </is>
      </c>
      <c r="O17" s="3" t="inlineStr">
        <is>
          <t>branch feature/plan-tuan-kiet — docs/finance-rules.md (2026-10-18)</t>
        </is>
      </c>
      <c r="P17" s="3" t="inlineStr">
        <is>
          <t>Khoản vay và mục tiêu đang có giao diện mock.</t>
        </is>
      </c>
    </row>
    <row r="18" ht="50.1" customHeight="1" s="16">
      <c r="A18" s="2" t="inlineStr">
        <is>
          <t>QA-01</t>
        </is>
      </c>
      <c r="B18" s="2" t="inlineStr">
        <is>
          <t>Kiểm thử &amp; nghiệm thu</t>
        </is>
      </c>
      <c r="C18" s="2" t="inlineStr">
        <is>
          <t>Thiết lập checklist build/test baseline</t>
        </is>
      </c>
      <c r="D18" s="2" t="inlineStr">
        <is>
          <t>Kiểm `CHAY_SE.bat`, `/api/health`, backend PHP test, browser console; ghi kết quả baseline, không mặc định 36/36 PASS.</t>
        </is>
      </c>
      <c r="E18" s="2" t="inlineStr">
        <is>
          <t>Võ Trịnh Quốc Huy</t>
        </is>
      </c>
      <c r="F18" s="2" t="inlineStr">
        <is>
          <t>Nguyễn Thành Trung</t>
        </is>
      </c>
      <c r="G18" s="2" t="inlineStr">
        <is>
          <t>P1</t>
        </is>
      </c>
      <c r="H18" s="2" t="inlineStr">
        <is>
          <t>To Do</t>
        </is>
      </c>
      <c r="I18" s="2" t="inlineStr">
        <is>
          <t>S1</t>
        </is>
      </c>
      <c r="J18" s="4" t="n">
        <v>46314</v>
      </c>
      <c r="K18" s="4" t="n">
        <v>46320</v>
      </c>
      <c r="L18" s="6" t="n">
        <v>0</v>
      </c>
      <c r="M18" s="2" t="inlineStr">
        <is>
          <t>LEAD-01</t>
        </is>
      </c>
      <c r="N18" s="2" t="inlineStr">
        <is>
          <t>docs/test-baseline.md</t>
        </is>
      </c>
      <c r="O18" s="2" t="n"/>
      <c r="P18" s="2" t="inlineStr">
        <is>
          <t>README chỉ nêu kỳ vọng 36 PASSED.</t>
        </is>
      </c>
    </row>
    <row r="19" ht="50.1" customHeight="1" s="16">
      <c r="A19" s="3" t="inlineStr">
        <is>
          <t>TX-04</t>
        </is>
      </c>
      <c r="B19" s="3" t="inlineStr">
        <is>
          <t>Ví &amp; giao dịch</t>
        </is>
      </c>
      <c r="C19" s="3" t="inlineStr">
        <is>
          <t>Thu/chi: form và POST vào ledger</t>
        </is>
      </c>
      <c r="D19" s="3" t="inlineStr">
        <is>
          <t>Form validation &gt;0, category thuộc user; POST thành bút toán kép; ví cập nhật; reload dữ liệu vẫn còn.</t>
        </is>
      </c>
      <c r="E19" s="3" t="inlineStr">
        <is>
          <t>Võ Văn Khôi Nguyên</t>
        </is>
      </c>
      <c r="F19" s="3" t="inlineStr">
        <is>
          <t>Võ Trịnh Quốc Huy</t>
        </is>
      </c>
      <c r="G19" s="3" t="inlineStr">
        <is>
          <t>P1</t>
        </is>
      </c>
      <c r="H19" s="3" t="inlineStr">
        <is>
          <t>To Do</t>
        </is>
      </c>
      <c r="I19" s="3" t="inlineStr">
        <is>
          <t>S2</t>
        </is>
      </c>
      <c r="J19" s="5" t="n">
        <v>46321</v>
      </c>
      <c r="K19" s="5" t="n">
        <v>46327</v>
      </c>
      <c r="L19" s="7" t="n">
        <v>0</v>
      </c>
      <c r="M19" s="3" t="inlineStr">
        <is>
          <t>TX-02,TX-03,DB-04</t>
        </is>
      </c>
      <c r="N19" s="3" t="inlineStr">
        <is>
          <t>source/frontend/js/app/forms.js; source/backend/</t>
        </is>
      </c>
      <c r="O19" s="3" t="n"/>
      <c r="P19" s="3" t="inlineStr">
        <is>
          <t>LedgerService đã được kiểm thử độc lập.</t>
        </is>
      </c>
    </row>
    <row r="20" ht="50.1" customHeight="1" s="16">
      <c r="A20" s="2" t="inlineStr">
        <is>
          <t>TX-05</t>
        </is>
      </c>
      <c r="B20" s="2" t="inlineStr">
        <is>
          <t>Ví &amp; giao dịch</t>
        </is>
      </c>
      <c r="C20" s="2" t="inlineStr">
        <is>
          <t>Chuyển ví và số dư nhất quán</t>
        </is>
      </c>
      <c r="D20" s="2" t="inlineStr">
        <is>
          <t>Không chuyển cùng ví/không vượt số dư; debit/credit cả hai ví nguyên tử; không tính vào Thu/Chi.</t>
        </is>
      </c>
      <c r="E20" s="2" t="inlineStr">
        <is>
          <t>Võ Văn Khôi Nguyên</t>
        </is>
      </c>
      <c r="F20" s="2" t="inlineStr">
        <is>
          <t>Võ Trịnh Quốc Huy</t>
        </is>
      </c>
      <c r="G20" s="2" t="inlineStr">
        <is>
          <t>P1</t>
        </is>
      </c>
      <c r="H20" s="2" t="inlineStr">
        <is>
          <t>To Do</t>
        </is>
      </c>
      <c r="I20" s="2" t="inlineStr">
        <is>
          <t>S2</t>
        </is>
      </c>
      <c r="J20" s="4" t="n">
        <v>46321</v>
      </c>
      <c r="K20" s="4" t="n">
        <v>46327</v>
      </c>
      <c r="L20" s="6" t="n">
        <v>0</v>
      </c>
      <c r="M20" s="2" t="inlineStr">
        <is>
          <t>TX-04</t>
        </is>
      </c>
      <c r="N20" s="2" t="inlineStr">
        <is>
          <t>source/frontend/js/app/pages.js; source/backend/</t>
        </is>
      </c>
      <c r="O20" s="2" t="n"/>
      <c r="P20" s="2" t="inlineStr">
        <is>
          <t>FR03 có test transfer/reversal.</t>
        </is>
      </c>
    </row>
    <row r="21" ht="50.1" customHeight="1" s="16">
      <c r="A21" s="3" t="inlineStr">
        <is>
          <t>TX-06</t>
        </is>
      </c>
      <c r="B21" s="3" t="inlineStr">
        <is>
          <t>Ví &amp; giao dịch</t>
        </is>
      </c>
      <c r="C21" s="3" t="inlineStr">
        <is>
          <t>Lịch sử giao dịch, tìm kiếm và lọc</t>
        </is>
      </c>
      <c r="D21" s="3" t="inlineStr">
        <is>
          <t>Trang Giao dịch lấy API theo user, filter loại/ngày/từ khóa, empty/error/loading, không sử dụng fixture.</t>
        </is>
      </c>
      <c r="E21" s="3" t="inlineStr">
        <is>
          <t>Võ Văn Khôi Nguyên</t>
        </is>
      </c>
      <c r="F21" s="3" t="inlineStr">
        <is>
          <t>Võ Trịnh Quốc Huy</t>
        </is>
      </c>
      <c r="G21" s="3" t="inlineStr">
        <is>
          <t>P1</t>
        </is>
      </c>
      <c r="H21" s="3" t="inlineStr">
        <is>
          <t>To Do</t>
        </is>
      </c>
      <c r="I21" s="3" t="inlineStr">
        <is>
          <t>S2</t>
        </is>
      </c>
      <c r="J21" s="5" t="n">
        <v>46321</v>
      </c>
      <c r="K21" s="5" t="n">
        <v>46327</v>
      </c>
      <c r="L21" s="7" t="n">
        <v>0</v>
      </c>
      <c r="M21" s="3" t="inlineStr">
        <is>
          <t>TX-04</t>
        </is>
      </c>
      <c r="N21" s="3" t="inlineStr">
        <is>
          <t>source/frontend/js/app/pages.js; source/frontend/js/app/main.js</t>
        </is>
      </c>
      <c r="O21" s="3" t="n"/>
      <c r="P21" s="3" t="inlineStr">
        <is>
          <t>UI hiện lọc JS trên fixtures.</t>
        </is>
      </c>
    </row>
    <row r="22" ht="50.1" customHeight="1" s="16">
      <c r="A22" s="2" t="inlineStr">
        <is>
          <t>TX-07</t>
        </is>
      </c>
      <c r="B22" s="2" t="inlineStr">
        <is>
          <t>Ví &amp; giao dịch</t>
        </is>
      </c>
      <c r="C22" s="2" t="inlineStr">
        <is>
          <t>Giao dịch nháp/đảo bút toán</t>
        </is>
      </c>
      <c r="D22" s="2" t="inlineStr">
        <is>
          <t>Cho chuyển DRAFT→POSTED; giao dịch POSTED chỉ đảo (reversal), không xóa vật lý; idempotency ngăn ghi đôi.</t>
        </is>
      </c>
      <c r="E22" s="2" t="inlineStr">
        <is>
          <t>Võ Văn Khôi Nguyên</t>
        </is>
      </c>
      <c r="F22" s="2" t="inlineStr">
        <is>
          <t>Võ Trịnh Quốc Huy</t>
        </is>
      </c>
      <c r="G22" s="2" t="inlineStr">
        <is>
          <t>P1</t>
        </is>
      </c>
      <c r="H22" s="2" t="inlineStr">
        <is>
          <t>To Do</t>
        </is>
      </c>
      <c r="I22" s="2" t="inlineStr">
        <is>
          <t>S2</t>
        </is>
      </c>
      <c r="J22" s="4" t="n">
        <v>46321</v>
      </c>
      <c r="K22" s="4" t="n">
        <v>46327</v>
      </c>
      <c r="L22" s="6" t="n">
        <v>0</v>
      </c>
      <c r="M22" s="2" t="inlineStr">
        <is>
          <t>TX-04</t>
        </is>
      </c>
      <c r="N22" s="2" t="inlineStr">
        <is>
          <t>source/backend/; source/frontend/js/app/forms.js</t>
        </is>
      </c>
      <c r="O22" s="2" t="n"/>
      <c r="P22" s="2" t="inlineStr">
        <is>
          <t>FR03 đã có test reversal/idempotency.</t>
        </is>
      </c>
    </row>
    <row r="23" ht="50.1" customHeight="1" s="16">
      <c r="A23" s="3" t="inlineStr">
        <is>
          <t>TX-08</t>
        </is>
      </c>
      <c r="B23" s="3" t="inlineStr">
        <is>
          <t>Ví &amp; giao dịch</t>
        </is>
      </c>
      <c r="C23" s="3" t="inlineStr">
        <is>
          <t>Tỷ giá snapshot và nhiều tiền tệ</t>
        </is>
      </c>
      <c r="D23" s="3" t="inlineStr">
        <is>
          <t>Mỗi giao dịch ngoại tệ lưu snapshot rate, tính amount_base; báo lỗi nếu thiếu tỷ giá; không tự lấy FX giả làm live.</t>
        </is>
      </c>
      <c r="E23" s="3" t="inlineStr">
        <is>
          <t>Võ Văn Khôi Nguyên</t>
        </is>
      </c>
      <c r="F23" s="3" t="inlineStr">
        <is>
          <t>Nguyễn Thành Trung</t>
        </is>
      </c>
      <c r="G23" s="3" t="inlineStr">
        <is>
          <t>P2</t>
        </is>
      </c>
      <c r="H23" s="3" t="inlineStr">
        <is>
          <t>To Do</t>
        </is>
      </c>
      <c r="I23" s="3" t="inlineStr">
        <is>
          <t>S2</t>
        </is>
      </c>
      <c r="J23" s="5" t="n">
        <v>46321</v>
      </c>
      <c r="K23" s="5" t="n">
        <v>46327</v>
      </c>
      <c r="L23" s="7" t="n">
        <v>0</v>
      </c>
      <c r="M23" s="3" t="inlineStr">
        <is>
          <t>TX-04,DB-03</t>
        </is>
      </c>
      <c r="N23" s="3" t="inlineStr">
        <is>
          <t>source/backend/; source/frontend/js/app/pages.js</t>
        </is>
      </c>
      <c r="O23" s="3" t="n"/>
      <c r="P23" s="3" t="inlineStr">
        <is>
          <t>FR04 có test SQLite.</t>
        </is>
      </c>
    </row>
    <row r="24" ht="50.1" customHeight="1" s="16">
      <c r="A24" s="2" t="inlineStr">
        <is>
          <t>TX-09</t>
        </is>
      </c>
      <c r="B24" s="2" t="inlineStr">
        <is>
          <t>Ví &amp; giao dịch</t>
        </is>
      </c>
      <c r="C24" s="2" t="inlineStr">
        <is>
          <t>Định kỳ: CRUD + worker thực tế</t>
        </is>
      </c>
      <c r="D24" s="2" t="inlineStr">
        <is>
          <t>Tạo lịch, pause/resume, worker 1 lần/kỳ; xử lý ngày 31→cuối tháng; AUTO_POST vs DRAFT_REMINDER.</t>
        </is>
      </c>
      <c r="E24" s="2" t="inlineStr">
        <is>
          <t>Võ Văn Khôi Nguyên</t>
        </is>
      </c>
      <c r="F24" s="2" t="inlineStr">
        <is>
          <t>Võ Trịnh Quốc Huy</t>
        </is>
      </c>
      <c r="G24" s="2" t="inlineStr">
        <is>
          <t>P1</t>
        </is>
      </c>
      <c r="H24" s="2" t="inlineStr">
        <is>
          <t>To Do</t>
        </is>
      </c>
      <c r="I24" s="2" t="inlineStr">
        <is>
          <t>S2</t>
        </is>
      </c>
      <c r="J24" s="4" t="n">
        <v>46321</v>
      </c>
      <c r="K24" s="4" t="n">
        <v>46327</v>
      </c>
      <c r="L24" s="6" t="n">
        <v>0</v>
      </c>
      <c r="M24" s="2" t="inlineStr">
        <is>
          <t>TX-04,DB-04</t>
        </is>
      </c>
      <c r="N24" s="2" t="inlineStr">
        <is>
          <t>source/backend/; source/frontend/js/app/pages.js</t>
        </is>
      </c>
      <c r="O24" s="2" t="n"/>
      <c r="P24" s="2" t="inlineStr">
        <is>
          <t>FR06 có test cho worker.</t>
        </is>
      </c>
    </row>
    <row r="25" ht="50.1" customHeight="1" s="16">
      <c r="A25" s="3" t="inlineStr">
        <is>
          <t>DB-05</t>
        </is>
      </c>
      <c r="B25" s="3" t="inlineStr">
        <is>
          <t>Database &amp; tài liệu</t>
        </is>
      </c>
      <c r="C25" s="3" t="inlineStr">
        <is>
          <t>Migration cho tính năng còn thiếu</t>
        </is>
      </c>
      <c r="D25" s="3" t="inlineStr">
        <is>
          <t>Viết migration tăng dần IF/guard phù hợp MySQL, lưu version, có kế hoạch rollback; cấm DROP bảng đang dùng.</t>
        </is>
      </c>
      <c r="E25" s="3" t="inlineStr">
        <is>
          <t>Nguyễn Thành Trung</t>
        </is>
      </c>
      <c r="F25" s="3" t="inlineStr">
        <is>
          <t>Võ Trịnh Quốc Huy</t>
        </is>
      </c>
      <c r="G25" s="3" t="inlineStr">
        <is>
          <t>P1</t>
        </is>
      </c>
      <c r="H25" s="3" t="inlineStr">
        <is>
          <t>To Do</t>
        </is>
      </c>
      <c r="I25" s="3" t="inlineStr">
        <is>
          <t>S2</t>
        </is>
      </c>
      <c r="J25" s="5" t="n">
        <v>46321</v>
      </c>
      <c r="K25" s="5" t="n">
        <v>46327</v>
      </c>
      <c r="L25" s="7" t="n">
        <v>0</v>
      </c>
      <c r="M25" s="3" t="inlineStr">
        <is>
          <t>DB-02,DB-03</t>
        </is>
      </c>
      <c r="N25" s="3" t="inlineStr">
        <is>
          <t>source/database/00x_*.sql</t>
        </is>
      </c>
      <c r="O25" s="3" t="n"/>
      <c r="P25" s="3" t="inlineStr">
        <is>
          <t>Migration chỉ thêm nếu schema gốc chưa có.</t>
        </is>
      </c>
    </row>
    <row r="26" ht="50.1" customHeight="1" s="16">
      <c r="A26" s="2" t="inlineStr">
        <is>
          <t>DB-06</t>
        </is>
      </c>
      <c r="B26" s="2" t="inlineStr">
        <is>
          <t>Database &amp; tài liệu</t>
        </is>
      </c>
      <c r="C26" s="2" t="inlineStr">
        <is>
          <t>Kiểm tra hiệu năng index và truy vấn</t>
        </is>
      </c>
      <c r="D26" s="2" t="inlineStr">
        <is>
          <t>EXPLAIN query lịch sử theo user/date/wallet/category, index phù hợp; không quét dữ liệu mọi user.</t>
        </is>
      </c>
      <c r="E26" s="2" t="inlineStr">
        <is>
          <t>Nguyễn Thành Trung</t>
        </is>
      </c>
      <c r="F26" s="2" t="inlineStr">
        <is>
          <t>Võ Văn Khôi Nguyên</t>
        </is>
      </c>
      <c r="G26" s="2" t="inlineStr">
        <is>
          <t>P2</t>
        </is>
      </c>
      <c r="H26" s="2" t="inlineStr">
        <is>
          <t>To Do</t>
        </is>
      </c>
      <c r="I26" s="2" t="inlineStr">
        <is>
          <t>S2</t>
        </is>
      </c>
      <c r="J26" s="4" t="n">
        <v>46321</v>
      </c>
      <c r="K26" s="4" t="n">
        <v>46327</v>
      </c>
      <c r="L26" s="6" t="n">
        <v>0</v>
      </c>
      <c r="M26" s="2" t="inlineStr">
        <is>
          <t>TX-06,DB-05</t>
        </is>
      </c>
      <c r="N26" s="2" t="inlineStr">
        <is>
          <t>docs/db-performance.md</t>
        </is>
      </c>
      <c r="O26" s="2" t="n"/>
      <c r="P26" s="2" t="inlineStr">
        <is>
          <t>Kiểm thử trên MySQL 3307 riêng SE.</t>
        </is>
      </c>
    </row>
    <row r="27" ht="50.1" customHeight="1" s="16">
      <c r="A27" s="3" t="inlineStr">
        <is>
          <t>DB-07</t>
        </is>
      </c>
      <c r="B27" s="3" t="inlineStr">
        <is>
          <t>Database &amp; tài liệu</t>
        </is>
      </c>
      <c r="C27" s="3" t="inlineStr">
        <is>
          <t>Đồng bộ MySQL và bộ test SQLite</t>
        </is>
      </c>
      <c r="D27" s="3" t="inlineStr">
        <is>
          <t>Đối chiếu schema/test fixture, constraints, nullable; test SQLite không thay thế integration test MySQL.</t>
        </is>
      </c>
      <c r="E27" s="3" t="inlineStr">
        <is>
          <t>Nguyễn Thành Trung</t>
        </is>
      </c>
      <c r="F27" s="3" t="inlineStr">
        <is>
          <t>Võ Trịnh Quốc Huy</t>
        </is>
      </c>
      <c r="G27" s="3" t="inlineStr">
        <is>
          <t>P1</t>
        </is>
      </c>
      <c r="H27" s="3" t="inlineStr">
        <is>
          <t>To Do</t>
        </is>
      </c>
      <c r="I27" s="3" t="inlineStr">
        <is>
          <t>S2</t>
        </is>
      </c>
      <c r="J27" s="5" t="n">
        <v>46321</v>
      </c>
      <c r="K27" s="5" t="n">
        <v>46327</v>
      </c>
      <c r="L27" s="7" t="n">
        <v>0</v>
      </c>
      <c r="M27" s="3" t="inlineStr">
        <is>
          <t>DB-05</t>
        </is>
      </c>
      <c r="N27" s="3" t="inlineStr">
        <is>
          <t>docs/db-test-parity.md; source/backend/tests/</t>
        </is>
      </c>
      <c r="O27" s="3" t="n"/>
      <c r="P27" s="3" t="inlineStr">
        <is>
          <t>Tránh lệch hành vi 2 DB.</t>
        </is>
      </c>
    </row>
    <row r="28" ht="50.1" customHeight="1" s="16">
      <c r="A28" s="2" t="inlineStr">
        <is>
          <t>PLAN-03</t>
        </is>
      </c>
      <c r="B28" s="2" t="inlineStr">
        <is>
          <t>Ngân sách &amp; tài sản</t>
        </is>
      </c>
      <c r="C28" s="2" t="inlineStr">
        <is>
          <t>Ngân sách theo danh mục/kỳ</t>
        </is>
      </c>
      <c r="D28" s="2" t="inlineStr">
        <is>
          <t>CRUD budget theo user+category+month; tính chi tiêu ròng, không tính chuyển ví hay trả nợ gốc.</t>
        </is>
      </c>
      <c r="E28" s="2" t="inlineStr">
        <is>
          <t>Phạm Nguyễn Tuấn Kiệt</t>
        </is>
      </c>
      <c r="F28" s="2" t="inlineStr">
        <is>
          <t>Nguyễn Thành Trung</t>
        </is>
      </c>
      <c r="G28" s="2" t="inlineStr">
        <is>
          <t>P1</t>
        </is>
      </c>
      <c r="H28" s="2" t="inlineStr">
        <is>
          <t>Done</t>
        </is>
      </c>
      <c r="I28" s="2" t="inlineStr">
        <is>
          <t>S2</t>
        </is>
      </c>
      <c r="J28" s="4" t="n">
        <v>46321</v>
      </c>
      <c r="K28" s="4" t="n">
        <v>46327</v>
      </c>
      <c r="L28" s="6" t="n">
        <v>100</v>
      </c>
      <c r="M28" s="2" t="inlineStr">
        <is>
          <t>PLAN-01,TX-04</t>
        </is>
      </c>
      <c r="N28" s="2" t="inlineStr">
        <is>
          <t>source/backend/; source/frontend/js/app/pages.js</t>
        </is>
      </c>
      <c r="O28" s="2" t="inlineStr">
        <is>
          <t>branch feature/plan-tuan-kiet — BudgetDAO/BudgetService + live-pages.js + run_tests.php (54/54 PASS)</t>
        </is>
      </c>
      <c r="P28" s="2" t="inlineStr">
        <is>
          <t>Backend BudgetService đã được test ở FR05.</t>
        </is>
      </c>
    </row>
    <row r="29" ht="50.1" customHeight="1" s="16">
      <c r="A29" s="3" t="inlineStr">
        <is>
          <t>PLAN-04</t>
        </is>
      </c>
      <c r="B29" s="3" t="inlineStr">
        <is>
          <t>Ngân sách &amp; tài sản</t>
        </is>
      </c>
      <c r="C29" s="3" t="inlineStr">
        <is>
          <t>Cảnh báo 80% / 100% chính xác</t>
        </is>
      </c>
      <c r="D29" s="3" t="inlineStr">
        <is>
          <t>UI lấy % từ dữ liệu thực; backend sinh một thông báo/loại/ngưỡng/kỳ; không tự chặn chi tiêu.</t>
        </is>
      </c>
      <c r="E29" s="3" t="inlineStr">
        <is>
          <t>Phạm Nguyễn Tuấn Kiệt</t>
        </is>
      </c>
      <c r="F29" s="3" t="inlineStr">
        <is>
          <t>Võ Văn Khôi Nguyên</t>
        </is>
      </c>
      <c r="G29" s="3" t="inlineStr">
        <is>
          <t>P1</t>
        </is>
      </c>
      <c r="H29" s="3" t="inlineStr">
        <is>
          <t>Done</t>
        </is>
      </c>
      <c r="I29" s="3" t="inlineStr">
        <is>
          <t>S2</t>
        </is>
      </c>
      <c r="J29" s="5" t="n">
        <v>46321</v>
      </c>
      <c r="K29" s="5" t="n">
        <v>46327</v>
      </c>
      <c r="L29" s="7" t="n">
        <v>100</v>
      </c>
      <c r="M29" s="3" t="inlineStr">
        <is>
          <t>PLAN-03,TX-04</t>
        </is>
      </c>
      <c r="N29" s="3" t="inlineStr">
        <is>
          <t>source/backend/; source/frontend/js/app/pages.js</t>
        </is>
      </c>
      <c r="O29" s="3" t="inlineStr">
        <is>
          <t>branch feature/plan-tuan-kiet — BR08 80%/100% + jump-over-yellow dedup + UI KPI/progress (54/54 PASS)</t>
        </is>
      </c>
      <c r="P29" s="3" t="inlineStr">
        <is>
          <t>Rule hiển thị sẵn trên budget UI.</t>
        </is>
      </c>
    </row>
    <row r="30" ht="50.1" customHeight="1" s="16">
      <c r="A30" s="2" t="inlineStr">
        <is>
          <t>PLAN-05</t>
        </is>
      </c>
      <c r="B30" s="2" t="inlineStr">
        <is>
          <t>Ngân sách &amp; tài sản</t>
        </is>
      </c>
      <c r="C30" s="2" t="inlineStr">
        <is>
          <t>Trung tâm thông báo từ backend</t>
        </is>
      </c>
      <c r="D30" s="2" t="inlineStr">
        <is>
          <t>Xem/chưa xem; thông báo ngân sách/nhắc nợ; phân tách của user; không chèn notification demo vào kết quả thật.</t>
        </is>
      </c>
      <c r="E30" s="2" t="inlineStr">
        <is>
          <t>Phạm Nguyễn Tuấn Kiệt</t>
        </is>
      </c>
      <c r="F30" s="2" t="inlineStr">
        <is>
          <t>Võ Trịnh Quốc Huy</t>
        </is>
      </c>
      <c r="G30" s="2" t="inlineStr">
        <is>
          <t>P2</t>
        </is>
      </c>
      <c r="H30" s="2" t="inlineStr">
        <is>
          <t>Done</t>
        </is>
      </c>
      <c r="I30" s="2" t="inlineStr">
        <is>
          <t>S2</t>
        </is>
      </c>
      <c r="J30" s="4" t="n">
        <v>46321</v>
      </c>
      <c r="K30" s="4" t="n">
        <v>46327</v>
      </c>
      <c r="L30" s="6" t="n">
        <v>100</v>
      </c>
      <c r="M30" s="2" t="inlineStr">
        <is>
          <t>PLAN-04,DB-05</t>
        </is>
      </c>
      <c r="N30" s="2" t="inlineStr">
        <is>
          <t>source/backend/; source/frontend/js/app/pages.js</t>
        </is>
      </c>
      <c r="O30" s="2" t="inlineStr">
        <is>
          <t>branch feature/plan-tuan-kiet — NotificationController/Service/DAO + UI filter/read-all (54/54 PASS)</t>
        </is>
      </c>
      <c r="P30" s="2" t="inlineStr">
        <is>
          <t>notificationsPage còn fixture.</t>
        </is>
      </c>
    </row>
    <row r="31" ht="50.1" customHeight="1" s="16">
      <c r="A31" s="3" t="inlineStr">
        <is>
          <t>LEAD-06</t>
        </is>
      </c>
      <c r="B31" s="3" t="inlineStr">
        <is>
          <t>Tích hợp &amp; bảo mật</t>
        </is>
      </c>
      <c r="C31" s="3" t="inlineStr">
        <is>
          <t>Chuẩn hóa frontend API state dùng chung</t>
        </is>
      </c>
      <c r="D31" s="3" t="inlineStr">
        <is>
          <t>Dịch vụ fetch có CSRF/session nếu cần, loading/error/empty; các module không tự hardcode API base hay secret.</t>
        </is>
      </c>
      <c r="E31" s="3" t="inlineStr">
        <is>
          <t>Võ Trịnh Quốc Huy</t>
        </is>
      </c>
      <c r="F31" s="3" t="inlineStr">
        <is>
          <t>Võ Văn Khôi Nguyên</t>
        </is>
      </c>
      <c r="G31" s="3" t="inlineStr">
        <is>
          <t>P1</t>
        </is>
      </c>
      <c r="H31" s="3" t="inlineStr">
        <is>
          <t>To Do</t>
        </is>
      </c>
      <c r="I31" s="3" t="inlineStr">
        <is>
          <t>S2</t>
        </is>
      </c>
      <c r="J31" s="5" t="n">
        <v>46321</v>
      </c>
      <c r="K31" s="5" t="n">
        <v>46327</v>
      </c>
      <c r="L31" s="7" t="n">
        <v>0</v>
      </c>
      <c r="M31" s="3" t="inlineStr">
        <is>
          <t>LEAD-02,TX-01</t>
        </is>
      </c>
      <c r="N31" s="3" t="inlineStr">
        <is>
          <t>source/frontend/js/services/; source/frontend/js/app/main.js</t>
        </is>
      </c>
      <c r="O31" s="3" t="n"/>
      <c r="P31" s="3" t="inlineStr">
        <is>
          <t>Tránh sửa chồng `main.js`.</t>
        </is>
      </c>
    </row>
    <row r="32" ht="50.1" customHeight="1" s="16">
      <c r="A32" s="2" t="inlineStr">
        <is>
          <t>LEAD-07</t>
        </is>
      </c>
      <c r="B32" s="2" t="inlineStr">
        <is>
          <t>Tích hợp &amp; bảo mật</t>
        </is>
      </c>
      <c r="C32" s="2" t="inlineStr">
        <is>
          <t>Kiểm tra an toàn input và quyền sở hữu</t>
        </is>
      </c>
      <c r="D32" s="2" t="inlineStr">
        <is>
          <t>Prepared statements, validate money/date, HTML escaping, quyền userId từ session; test IDOR đổi id của user khác.</t>
        </is>
      </c>
      <c r="E32" s="2" t="inlineStr">
        <is>
          <t>Võ Trịnh Quốc Huy</t>
        </is>
      </c>
      <c r="F32" s="2" t="inlineStr">
        <is>
          <t>Nguyễn Thành Trung</t>
        </is>
      </c>
      <c r="G32" s="2" t="inlineStr">
        <is>
          <t>P1</t>
        </is>
      </c>
      <c r="H32" s="2" t="inlineStr">
        <is>
          <t>To Do</t>
        </is>
      </c>
      <c r="I32" s="2" t="inlineStr">
        <is>
          <t>S2</t>
        </is>
      </c>
      <c r="J32" s="4" t="n">
        <v>46321</v>
      </c>
      <c r="K32" s="4" t="n">
        <v>46327</v>
      </c>
      <c r="L32" s="6" t="n">
        <v>0</v>
      </c>
      <c r="M32" s="2" t="inlineStr">
        <is>
          <t>TX-04,PLAN-03</t>
        </is>
      </c>
      <c r="N32" s="2" t="inlineStr">
        <is>
          <t>source/backend/; docs/security-tests.md</t>
        </is>
      </c>
      <c r="O32" s="2" t="n"/>
      <c r="P32" s="2" t="inlineStr">
        <is>
          <t>Bảo mật dữ liệu tài chính là P1.</t>
        </is>
      </c>
    </row>
    <row r="33" ht="50.1" customHeight="1" s="16">
      <c r="A33" s="3" t="inlineStr">
        <is>
          <t>PLAN-06</t>
        </is>
      </c>
      <c r="B33" s="3" t="inlineStr">
        <is>
          <t>Ngân sách &amp; tài sản</t>
        </is>
      </c>
      <c r="C33" s="3" t="inlineStr">
        <is>
          <t>Mục tiêu tiết kiệm: CRUD/tiến độ</t>
        </is>
      </c>
      <c r="D33" s="3" t="inlineStr">
        <is>
          <t>Tạo mục tiêu target/deadline, phân bổ/hoàn trả, hoàn thành/hủy; phân bổ chỉ earmark không làm tăng net worth.</t>
        </is>
      </c>
      <c r="E33" s="3" t="inlineStr">
        <is>
          <t>Phạm Nguyễn Tuấn Kiệt</t>
        </is>
      </c>
      <c r="F33" s="3" t="inlineStr">
        <is>
          <t>Nguyễn Thành Trung</t>
        </is>
      </c>
      <c r="G33" s="3" t="inlineStr">
        <is>
          <t>P1</t>
        </is>
      </c>
      <c r="H33" s="3" t="inlineStr">
        <is>
          <t>To Do</t>
        </is>
      </c>
      <c r="I33" s="3" t="inlineStr">
        <is>
          <t>S3</t>
        </is>
      </c>
      <c r="J33" s="5" t="n">
        <v>46328</v>
      </c>
      <c r="K33" s="5" t="n">
        <v>46334</v>
      </c>
      <c r="L33" s="7" t="n">
        <v>0</v>
      </c>
      <c r="M33" s="3" t="inlineStr">
        <is>
          <t>PLAN-02,DB-05</t>
        </is>
      </c>
      <c r="N33" s="3" t="inlineStr">
        <is>
          <t>source/backend/; source/frontend/js/app/pages.js</t>
        </is>
      </c>
      <c r="O33" s="3" t="n"/>
      <c r="P33" s="3" t="inlineStr">
        <is>
          <t>UI goals có sẵn dạng demo.</t>
        </is>
      </c>
    </row>
    <row r="34" ht="50.1" customHeight="1" s="16">
      <c r="A34" s="2" t="inlineStr">
        <is>
          <t>PLAN-07</t>
        </is>
      </c>
      <c r="B34" s="2" t="inlineStr">
        <is>
          <t>Ngân sách &amp; tài sản</t>
        </is>
      </c>
      <c r="C34" s="2" t="inlineStr">
        <is>
          <t>Vay/nợ: tạo khoản và lịch trả</t>
        </is>
      </c>
      <c r="D34" s="2" t="inlineStr">
        <is>
          <t>Phân biệt đi vay/cho vay, kỳ hạn, lãi/phí, due date, trả gốc; không ghi nhận vay là income.</t>
        </is>
      </c>
      <c r="E34" s="2" t="inlineStr">
        <is>
          <t>Phạm Nguyễn Tuấn Kiệt</t>
        </is>
      </c>
      <c r="F34" s="2" t="inlineStr">
        <is>
          <t>Nguyễn Thành Trung</t>
        </is>
      </c>
      <c r="G34" s="2" t="inlineStr">
        <is>
          <t>P1</t>
        </is>
      </c>
      <c r="H34" s="2" t="inlineStr">
        <is>
          <t>To Do</t>
        </is>
      </c>
      <c r="I34" s="2" t="inlineStr">
        <is>
          <t>S3</t>
        </is>
      </c>
      <c r="J34" s="4" t="n">
        <v>46328</v>
      </c>
      <c r="K34" s="4" t="n">
        <v>46334</v>
      </c>
      <c r="L34" s="6" t="n">
        <v>0</v>
      </c>
      <c r="M34" s="2" t="inlineStr">
        <is>
          <t>PLAN-02,DB-05,TX-04</t>
        </is>
      </c>
      <c r="N34" s="2" t="inlineStr">
        <is>
          <t>source/backend/; source/frontend/js/app/pages.js</t>
        </is>
      </c>
      <c r="O34" s="2" t="n"/>
      <c r="P34" s="2" t="inlineStr">
        <is>
          <t>UI loans có sẵn dạng demo.</t>
        </is>
      </c>
    </row>
    <row r="35" ht="50.1" customHeight="1" s="16">
      <c r="A35" s="3" t="inlineStr">
        <is>
          <t>PLAN-08</t>
        </is>
      </c>
      <c r="B35" s="3" t="inlineStr">
        <is>
          <t>Ngân sách &amp; tài sản</t>
        </is>
      </c>
      <c r="C35" s="3" t="inlineStr">
        <is>
          <t>Ghi trả nợ/nhắc hạn an toàn</t>
        </is>
      </c>
      <c r="D35" s="3" t="inlineStr">
        <is>
          <t>Tách principal làm giảm liability và ví; interest/fees là expense; cảnh báo trước hạn; chống trả nợ 2 lần.</t>
        </is>
      </c>
      <c r="E35" s="3" t="inlineStr">
        <is>
          <t>Phạm Nguyễn Tuấn Kiệt</t>
        </is>
      </c>
      <c r="F35" s="3" t="inlineStr">
        <is>
          <t>Võ Văn Khôi Nguyên</t>
        </is>
      </c>
      <c r="G35" s="3" t="inlineStr">
        <is>
          <t>P1</t>
        </is>
      </c>
      <c r="H35" s="3" t="inlineStr">
        <is>
          <t>To Do</t>
        </is>
      </c>
      <c r="I35" s="3" t="inlineStr">
        <is>
          <t>S3</t>
        </is>
      </c>
      <c r="J35" s="5" t="n">
        <v>46328</v>
      </c>
      <c r="K35" s="5" t="n">
        <v>46334</v>
      </c>
      <c r="L35" s="7" t="n">
        <v>0</v>
      </c>
      <c r="M35" s="3" t="inlineStr">
        <is>
          <t>PLAN-07,PLAN-05</t>
        </is>
      </c>
      <c r="N35" s="3" t="inlineStr">
        <is>
          <t>source/backend/; source/frontend/js/app/pages.js</t>
        </is>
      </c>
      <c r="O35" s="3" t="n"/>
      <c r="P35" s="3" t="inlineStr">
        <is>
          <t>Rule đang được mô tả trên trang vay.</t>
        </is>
      </c>
    </row>
    <row r="36" ht="50.1" customHeight="1" s="16">
      <c r="A36" s="2" t="inlineStr">
        <is>
          <t>PLAN-09</t>
        </is>
      </c>
      <c r="B36" s="2" t="inlineStr">
        <is>
          <t>Ngân sách &amp; tài sản</t>
        </is>
      </c>
      <c r="C36" s="2" t="inlineStr">
        <is>
          <t>Tài sản vàng: lô, định giá, snapshot</t>
        </is>
      </c>
      <c r="D36" s="2" t="inlineStr">
        <is>
          <t>Thêm/sửa asset vàng, số lượng, unit, valuation history; không lấy giá tĩnh hiện trên UI làm giá thị trường thực.</t>
        </is>
      </c>
      <c r="E36" s="2" t="inlineStr">
        <is>
          <t>Phạm Nguyễn Tuấn Kiệt</t>
        </is>
      </c>
      <c r="F36" s="2" t="inlineStr">
        <is>
          <t>Nguyễn Thành Trung</t>
        </is>
      </c>
      <c r="G36" s="2" t="inlineStr">
        <is>
          <t>P2</t>
        </is>
      </c>
      <c r="H36" s="2" t="inlineStr">
        <is>
          <t>To Do</t>
        </is>
      </c>
      <c r="I36" s="2" t="inlineStr">
        <is>
          <t>S3</t>
        </is>
      </c>
      <c r="J36" s="4" t="n">
        <v>46328</v>
      </c>
      <c r="K36" s="4" t="n">
        <v>46334</v>
      </c>
      <c r="L36" s="6" t="n">
        <v>0</v>
      </c>
      <c r="M36" s="2" t="inlineStr">
        <is>
          <t>DB-05,PLAN-02</t>
        </is>
      </c>
      <c r="N36" s="2" t="inlineStr">
        <is>
          <t>source/backend/; source/frontend/js/app/pages.js</t>
        </is>
      </c>
      <c r="O36" s="2" t="n"/>
      <c r="P36" s="2" t="inlineStr">
        <is>
          <t>goldPage sử dụng fixture.</t>
        </is>
      </c>
    </row>
    <row r="37" ht="50.1" customHeight="1" s="16">
      <c r="A37" s="3" t="inlineStr">
        <is>
          <t>PLAN-10</t>
        </is>
      </c>
      <c r="B37" s="3" t="inlineStr">
        <is>
          <t>Ngân sách &amp; tài sản</t>
        </is>
      </c>
      <c r="C37" s="3" t="inlineStr">
        <is>
          <t>Net worth, balance sheet thật</t>
        </is>
      </c>
      <c r="D37" s="3" t="inlineStr">
        <is>
          <t>Net worth = assets - liabilities; exclude mục tiêu ghi nhãn kép; số liệu cùng thời điểm, filter kỳ, snapshot lịch sử.</t>
        </is>
      </c>
      <c r="E37" s="3" t="inlineStr">
        <is>
          <t>Phạm Nguyễn Tuấn Kiệt</t>
        </is>
      </c>
      <c r="F37" s="3" t="inlineStr">
        <is>
          <t>Võ Trịnh Quốc Huy</t>
        </is>
      </c>
      <c r="G37" s="3" t="inlineStr">
        <is>
          <t>P1</t>
        </is>
      </c>
      <c r="H37" s="3" t="inlineStr">
        <is>
          <t>To Do</t>
        </is>
      </c>
      <c r="I37" s="3" t="inlineStr">
        <is>
          <t>S3</t>
        </is>
      </c>
      <c r="J37" s="5" t="n">
        <v>46328</v>
      </c>
      <c r="K37" s="5" t="n">
        <v>46334</v>
      </c>
      <c r="L37" s="7" t="n">
        <v>0</v>
      </c>
      <c r="M37" s="3" t="inlineStr">
        <is>
          <t>PLAN-07,PLAN-09,TX-06</t>
        </is>
      </c>
      <c r="N37" s="3" t="inlineStr">
        <is>
          <t>source/backend/; source/frontend/js/app/pages.js</t>
        </is>
      </c>
      <c r="O37" s="3" t="n"/>
      <c r="P37" s="3" t="inlineStr">
        <is>
          <t>overview đang có KPI giá trị hardcoded.</t>
        </is>
      </c>
    </row>
    <row r="38" ht="50.1" customHeight="1" s="16">
      <c r="A38" s="2" t="inlineStr">
        <is>
          <t>PLAN-11</t>
        </is>
      </c>
      <c r="B38" s="2" t="inlineStr">
        <is>
          <t>Ngân sách &amp; tài sản</t>
        </is>
      </c>
      <c r="C38" s="2" t="inlineStr">
        <is>
          <t>Báo cáo thu–chi và saving rate</t>
        </is>
      </c>
      <c r="D38" s="2" t="inlineStr">
        <is>
          <t>Dữ liệu từ ledger; Income-Expense (loại chuyển ví/gốc nợ); rate N/A khi income≤0; chart lấy theo kỳ.</t>
        </is>
      </c>
      <c r="E38" s="2" t="inlineStr">
        <is>
          <t>Phạm Nguyễn Tuấn Kiệt</t>
        </is>
      </c>
      <c r="F38" s="2" t="inlineStr">
        <is>
          <t>Võ Trịnh Quốc Huy</t>
        </is>
      </c>
      <c r="G38" s="2" t="inlineStr">
        <is>
          <t>P1</t>
        </is>
      </c>
      <c r="H38" s="2" t="inlineStr">
        <is>
          <t>To Do</t>
        </is>
      </c>
      <c r="I38" s="2" t="inlineStr">
        <is>
          <t>S3</t>
        </is>
      </c>
      <c r="J38" s="4" t="n">
        <v>46328</v>
      </c>
      <c r="K38" s="4" t="n">
        <v>46334</v>
      </c>
      <c r="L38" s="6" t="n">
        <v>0</v>
      </c>
      <c r="M38" s="2" t="inlineStr">
        <is>
          <t>PLAN-10,TX-06</t>
        </is>
      </c>
      <c r="N38" s="2" t="inlineStr">
        <is>
          <t>source/backend/; source/frontend/js/app/pages.js</t>
        </is>
      </c>
      <c r="O38" s="2" t="n"/>
      <c r="P38" s="2" t="inlineStr">
        <is>
          <t>reportPage tự ghi chú chưa lấy MySQL.</t>
        </is>
      </c>
    </row>
    <row r="39" ht="50.1" customHeight="1" s="16">
      <c r="A39" s="3" t="inlineStr">
        <is>
          <t>TX-10</t>
        </is>
      </c>
      <c r="B39" s="3" t="inlineStr">
        <is>
          <t>Ví &amp; giao dịch</t>
        </is>
      </c>
      <c r="C39" s="3" t="inlineStr">
        <is>
          <t>Kết nối UI định kỳ &amp; bỏ mock</t>
        </is>
      </c>
      <c r="D39" s="3" t="inlineStr">
        <is>
          <t>Danh sách định kỳ từ API, nút pause/delete chạy thật; refresh giữ trạng thái; rõ ngày tới hạn và mode.</t>
        </is>
      </c>
      <c r="E39" s="3" t="inlineStr">
        <is>
          <t>Võ Văn Khôi Nguyên</t>
        </is>
      </c>
      <c r="F39" s="3" t="inlineStr">
        <is>
          <t>Phạm Nguyễn Tuấn Kiệt</t>
        </is>
      </c>
      <c r="G39" s="3" t="inlineStr">
        <is>
          <t>P1</t>
        </is>
      </c>
      <c r="H39" s="3" t="inlineStr">
        <is>
          <t>To Do</t>
        </is>
      </c>
      <c r="I39" s="3" t="inlineStr">
        <is>
          <t>S3</t>
        </is>
      </c>
      <c r="J39" s="5" t="n">
        <v>46328</v>
      </c>
      <c r="K39" s="5" t="n">
        <v>46334</v>
      </c>
      <c r="L39" s="7" t="n">
        <v>0</v>
      </c>
      <c r="M39" s="3" t="inlineStr">
        <is>
          <t>TX-09,LEAD-06</t>
        </is>
      </c>
      <c r="N39" s="3" t="inlineStr">
        <is>
          <t>source/frontend/js/app/pages.js; source/frontend/js/data/fixtures.js</t>
        </is>
      </c>
      <c r="O39" s="3" t="n"/>
      <c r="P39" s="3" t="inlineStr">
        <is>
          <t>Bỏ fixture đúng module, không xóa chung bừa bãi.</t>
        </is>
      </c>
    </row>
    <row r="40" ht="50.1" customHeight="1" s="16">
      <c r="A40" s="2" t="inlineStr">
        <is>
          <t>TX-11</t>
        </is>
      </c>
      <c r="B40" s="2" t="inlineStr">
        <is>
          <t>Ví &amp; giao dịch</t>
        </is>
      </c>
      <c r="C40" s="2" t="inlineStr">
        <is>
          <t>Đối soát ví với bút toán thật</t>
        </is>
      </c>
      <c r="D40" s="2" t="inlineStr">
        <is>
          <t>Tính sum ledger entries so cached_balance, phát hiện chênh; tuyệt đối không hiển thị 'Mô phỏng khớp' như kết quả thực.</t>
        </is>
      </c>
      <c r="E40" s="2" t="inlineStr">
        <is>
          <t>Võ Văn Khôi Nguyên</t>
        </is>
      </c>
      <c r="F40" s="2" t="inlineStr">
        <is>
          <t>Võ Trịnh Quốc Huy</t>
        </is>
      </c>
      <c r="G40" s="2" t="inlineStr">
        <is>
          <t>P1</t>
        </is>
      </c>
      <c r="H40" s="2" t="inlineStr">
        <is>
          <t>To Do</t>
        </is>
      </c>
      <c r="I40" s="2" t="inlineStr">
        <is>
          <t>S3</t>
        </is>
      </c>
      <c r="J40" s="4" t="n">
        <v>46328</v>
      </c>
      <c r="K40" s="4" t="n">
        <v>46334</v>
      </c>
      <c r="L40" s="6" t="n">
        <v>0</v>
      </c>
      <c r="M40" s="2" t="inlineStr">
        <is>
          <t>TX-07,DB-06</t>
        </is>
      </c>
      <c r="N40" s="2" t="inlineStr">
        <is>
          <t>source/backend/; source/frontend/js/app/pages.js</t>
        </is>
      </c>
      <c r="O40" s="2" t="n"/>
      <c r="P40" s="2" t="inlineStr">
        <is>
          <t>reconciliationPage đang mô phỏng.</t>
        </is>
      </c>
    </row>
    <row r="41" ht="50.1" customHeight="1" s="16">
      <c r="A41" s="3" t="inlineStr">
        <is>
          <t>TX-12</t>
        </is>
      </c>
      <c r="B41" s="3" t="inlineStr">
        <is>
          <t>Ví &amp; giao dịch</t>
        </is>
      </c>
      <c r="C41" s="3" t="inlineStr">
        <is>
          <t>Xuất CSV giao dịch chuẩn UTF-8</t>
        </is>
      </c>
      <c r="D41" s="3" t="inlineStr">
        <is>
          <t>Export theo user và bộ lọc; UTF-8 BOM và escape công thức Excel; không lộ thông tin người khác.</t>
        </is>
      </c>
      <c r="E41" s="3" t="inlineStr">
        <is>
          <t>Võ Văn Khôi Nguyên</t>
        </is>
      </c>
      <c r="F41" s="3" t="inlineStr">
        <is>
          <t>Nguyễn Thành Trung</t>
        </is>
      </c>
      <c r="G41" s="3" t="inlineStr">
        <is>
          <t>P2</t>
        </is>
      </c>
      <c r="H41" s="3" t="inlineStr">
        <is>
          <t>To Do</t>
        </is>
      </c>
      <c r="I41" s="3" t="inlineStr">
        <is>
          <t>S3</t>
        </is>
      </c>
      <c r="J41" s="5" t="n">
        <v>46328</v>
      </c>
      <c r="K41" s="5" t="n">
        <v>46334</v>
      </c>
      <c r="L41" s="7" t="n">
        <v>0</v>
      </c>
      <c r="M41" s="3" t="inlineStr">
        <is>
          <t>TX-06</t>
        </is>
      </c>
      <c r="N41" s="3" t="inlineStr">
        <is>
          <t>source/backend/; source/frontend/js/app/pages.js</t>
        </is>
      </c>
      <c r="O41" s="3" t="n"/>
      <c r="P41" s="3" t="inlineStr">
        <is>
          <t>Nút Xuất CSV có trong UI.</t>
        </is>
      </c>
    </row>
    <row r="42" ht="50.1" customHeight="1" s="16">
      <c r="A42" s="2" t="inlineStr">
        <is>
          <t>DB-08</t>
        </is>
      </c>
      <c r="B42" s="2" t="inlineStr">
        <is>
          <t>Database &amp; tài liệu</t>
        </is>
      </c>
      <c r="C42" s="2" t="inlineStr">
        <is>
          <t>Snapshot &amp; lịch sử định giá</t>
        </is>
      </c>
      <c r="D42" s="2" t="inlineStr">
        <is>
          <t>Kiểm bảng snapshot/net worth, FX, giá vàng; đảm bảo snapshot bất biến và không tính trùng tài sản.</t>
        </is>
      </c>
      <c r="E42" s="2" t="inlineStr">
        <is>
          <t>Nguyễn Thành Trung</t>
        </is>
      </c>
      <c r="F42" s="2" t="inlineStr">
        <is>
          <t>Phạm Nguyễn Tuấn Kiệt</t>
        </is>
      </c>
      <c r="G42" s="2" t="inlineStr">
        <is>
          <t>P1</t>
        </is>
      </c>
      <c r="H42" s="2" t="inlineStr">
        <is>
          <t>To Do</t>
        </is>
      </c>
      <c r="I42" s="2" t="inlineStr">
        <is>
          <t>S3</t>
        </is>
      </c>
      <c r="J42" s="4" t="n">
        <v>46328</v>
      </c>
      <c r="K42" s="4" t="n">
        <v>46334</v>
      </c>
      <c r="L42" s="6" t="n">
        <v>0</v>
      </c>
      <c r="M42" s="2" t="inlineStr">
        <is>
          <t>DB-05,PLAN-09</t>
        </is>
      </c>
      <c r="N42" s="2" t="inlineStr">
        <is>
          <t>source/database/00x_*.sql; docs/data-dictionary.md</t>
        </is>
      </c>
      <c r="O42" s="2" t="n"/>
      <c r="P42" s="2" t="inlineStr">
        <is>
          <t>Các bảng là đề xuất, xác nhận schema trước migration.</t>
        </is>
      </c>
    </row>
    <row r="43" ht="50.1" customHeight="1" s="16">
      <c r="A43" s="3" t="inlineStr">
        <is>
          <t>DB-09</t>
        </is>
      </c>
      <c r="B43" s="3" t="inlineStr">
        <is>
          <t>Database &amp; tài liệu</t>
        </is>
      </c>
      <c r="C43" s="3" t="inlineStr">
        <is>
          <t>Backup/restore kèm kiểm tra phục hồi</t>
        </is>
      </c>
      <c r="D43" s="3" t="inlineStr">
        <is>
          <t>Dump SE MySQL 3307 sang file riêng, restore sang DB test, ghi checklist và thời gian; không động vào LTW 3306.</t>
        </is>
      </c>
      <c r="E43" s="3" t="inlineStr">
        <is>
          <t>Nguyễn Thành Trung</t>
        </is>
      </c>
      <c r="F43" s="3" t="inlineStr">
        <is>
          <t>Võ Trịnh Quốc Huy</t>
        </is>
      </c>
      <c r="G43" s="3" t="inlineStr">
        <is>
          <t>P1</t>
        </is>
      </c>
      <c r="H43" s="3" t="inlineStr">
        <is>
          <t>To Do</t>
        </is>
      </c>
      <c r="I43" s="3" t="inlineStr">
        <is>
          <t>S3</t>
        </is>
      </c>
      <c r="J43" s="5" t="n">
        <v>46328</v>
      </c>
      <c r="K43" s="5" t="n">
        <v>46334</v>
      </c>
      <c r="L43" s="7" t="n">
        <v>0</v>
      </c>
      <c r="M43" s="3" t="inlineStr">
        <is>
          <t>DB-05</t>
        </is>
      </c>
      <c r="N43" s="3" t="inlineStr">
        <is>
          <t>docs/backup-restore.md; scripts/</t>
        </is>
      </c>
      <c r="O43" s="3" t="n"/>
      <c r="P43" s="3" t="inlineStr">
        <is>
          <t>Không dùng script xóa htdocs/data.</t>
        </is>
      </c>
    </row>
    <row r="44" ht="50.1" customHeight="1" s="16">
      <c r="A44" s="2" t="inlineStr">
        <is>
          <t>LEAD-08</t>
        </is>
      </c>
      <c r="B44" s="2" t="inlineStr">
        <is>
          <t>Tích hợp &amp; bảo mật</t>
        </is>
      </c>
      <c r="C44" s="2" t="inlineStr">
        <is>
          <t>Dashboard tổng quan kết nối API</t>
        </is>
      </c>
      <c r="D44" s="2" t="inlineStr">
        <is>
          <t>Thay KPI/line/pie/recent transactions fixture bằng API thật; loading, empty, period selector; đối chiếu truy vấn DB.</t>
        </is>
      </c>
      <c r="E44" s="2" t="inlineStr">
        <is>
          <t>Võ Trịnh Quốc Huy</t>
        </is>
      </c>
      <c r="F44" s="2" t="inlineStr">
        <is>
          <t>Phạm Nguyễn Tuấn Kiệt</t>
        </is>
      </c>
      <c r="G44" s="2" t="inlineStr">
        <is>
          <t>P1</t>
        </is>
      </c>
      <c r="H44" s="2" t="inlineStr">
        <is>
          <t>To Do</t>
        </is>
      </c>
      <c r="I44" s="2" t="inlineStr">
        <is>
          <t>S3</t>
        </is>
      </c>
      <c r="J44" s="4" t="n">
        <v>46328</v>
      </c>
      <c r="K44" s="4" t="n">
        <v>46334</v>
      </c>
      <c r="L44" s="6" t="n">
        <v>0</v>
      </c>
      <c r="M44" s="2" t="inlineStr">
        <is>
          <t>PLAN-10,PLAN-11,TX-06</t>
        </is>
      </c>
      <c r="N44" s="2" t="inlineStr">
        <is>
          <t>source/frontend/js/app/pages.js; source/backend/</t>
        </is>
      </c>
      <c r="O44" s="2" t="n"/>
      <c r="P44" s="2" t="inlineStr">
        <is>
          <t>UI overview đang hardcode số liệu.</t>
        </is>
      </c>
    </row>
    <row r="45" ht="50.1" customHeight="1" s="16">
      <c r="A45" s="3" t="inlineStr">
        <is>
          <t>LEAD-09</t>
        </is>
      </c>
      <c r="B45" s="3" t="inlineStr">
        <is>
          <t>Tích hợp &amp; bảo mật</t>
        </is>
      </c>
      <c r="C45" s="3" t="inlineStr">
        <is>
          <t>Hoàn thiện hồ sơ, setting, dark mode</t>
        </is>
      </c>
      <c r="D45" s="3" t="inlineStr">
        <is>
          <t>Lưu tên/tiền tệ ưu tiên, validate, persist theme; kiểm tra desktop/mobile và quyền truy cập.</t>
        </is>
      </c>
      <c r="E45" s="3" t="inlineStr">
        <is>
          <t>Võ Trịnh Quốc Huy</t>
        </is>
      </c>
      <c r="F45" s="3" t="inlineStr">
        <is>
          <t>Võ Văn Khôi Nguyên</t>
        </is>
      </c>
      <c r="G45" s="3" t="inlineStr">
        <is>
          <t>P2</t>
        </is>
      </c>
      <c r="H45" s="3" t="inlineStr">
        <is>
          <t>To Do</t>
        </is>
      </c>
      <c r="I45" s="3" t="inlineStr">
        <is>
          <t>S3</t>
        </is>
      </c>
      <c r="J45" s="5" t="n">
        <v>46328</v>
      </c>
      <c r="K45" s="5" t="n">
        <v>46334</v>
      </c>
      <c r="L45" s="7" t="n">
        <v>0</v>
      </c>
      <c r="M45" s="3" t="inlineStr">
        <is>
          <t>LEAD-04,LEAD-06</t>
        </is>
      </c>
      <c r="N45" s="3" t="inlineStr">
        <is>
          <t>source/frontend/js/app/pages.js; source/backend/</t>
        </is>
      </c>
      <c r="O45" s="3" t="n"/>
      <c r="P45" s="3" t="inlineStr">
        <is>
          <t>Có setting UI cần xác thực lưu dữ liệu.</t>
        </is>
      </c>
    </row>
    <row r="46" ht="50.1" customHeight="1" s="16">
      <c r="A46" s="2" t="inlineStr">
        <is>
          <t>LEAD-10</t>
        </is>
      </c>
      <c r="B46" s="2" t="inlineStr">
        <is>
          <t>Tích hợp &amp; bảo mật</t>
        </is>
      </c>
      <c r="C46" s="2" t="inlineStr">
        <is>
          <t>Quyền Admin / giới hạn thông tin</t>
        </is>
      </c>
      <c r="D46" s="2" t="inlineStr">
        <is>
          <t>Admin quản user, danh mục mẫu, broadcast; không được truy cập số dư/giao dịch cá nhân; audit thay đổi.</t>
        </is>
      </c>
      <c r="E46" s="2" t="inlineStr">
        <is>
          <t>Võ Trịnh Quốc Huy</t>
        </is>
      </c>
      <c r="F46" s="2" t="inlineStr">
        <is>
          <t>Nguyễn Thành Trung</t>
        </is>
      </c>
      <c r="G46" s="2" t="inlineStr">
        <is>
          <t>P2</t>
        </is>
      </c>
      <c r="H46" s="2" t="inlineStr">
        <is>
          <t>To Do</t>
        </is>
      </c>
      <c r="I46" s="2" t="inlineStr">
        <is>
          <t>S4</t>
        </is>
      </c>
      <c r="J46" s="4" t="n">
        <v>46335</v>
      </c>
      <c r="K46" s="4" t="n">
        <v>46341</v>
      </c>
      <c r="L46" s="6" t="n">
        <v>0</v>
      </c>
      <c r="M46" s="2" t="inlineStr">
        <is>
          <t>LEAD-07,DB-05</t>
        </is>
      </c>
      <c r="N46" s="2" t="inlineStr">
        <is>
          <t>source/frontend/js/app/pages.js; source/backend/</t>
        </is>
      </c>
      <c r="O46" s="2" t="n"/>
      <c r="P46" s="2" t="inlineStr">
        <is>
          <t>Các trang admin hiện đang render fixtures.</t>
        </is>
      </c>
    </row>
    <row r="47" ht="50.1" customHeight="1" s="16">
      <c r="A47" s="3" t="inlineStr">
        <is>
          <t>LEAD-11</t>
        </is>
      </c>
      <c r="B47" s="3" t="inlineStr">
        <is>
          <t>Tích hợp &amp; bảo mật</t>
        </is>
      </c>
      <c r="C47" s="3" t="inlineStr">
        <is>
          <t>Ổn định runner 8080/3307</t>
        </is>
      </c>
      <c r="D47" s="3" t="inlineStr">
        <is>
          <t>Chạy `CHAY_SE.bat` / `DUNG_SE.bat` 2 lần an toàn, seed/migration idempotent, không xóa 3306/htdocs LTW.</t>
        </is>
      </c>
      <c r="E47" s="3" t="inlineStr">
        <is>
          <t>Võ Trịnh Quốc Huy</t>
        </is>
      </c>
      <c r="F47" s="3" t="inlineStr">
        <is>
          <t>Nguyễn Thành Trung</t>
        </is>
      </c>
      <c r="G47" s="3" t="inlineStr">
        <is>
          <t>P1</t>
        </is>
      </c>
      <c r="H47" s="3" t="inlineStr">
        <is>
          <t>To Do</t>
        </is>
      </c>
      <c r="I47" s="3" t="inlineStr">
        <is>
          <t>S4</t>
        </is>
      </c>
      <c r="J47" s="5" t="n">
        <v>46335</v>
      </c>
      <c r="K47" s="5" t="n">
        <v>46341</v>
      </c>
      <c r="L47" s="7" t="n">
        <v>0</v>
      </c>
      <c r="M47" s="3" t="inlineStr">
        <is>
          <t>DB-09,LEAD-07</t>
        </is>
      </c>
      <c r="N47" s="3" t="inlineStr">
        <is>
          <t>setup-se.ps1; CHAY_SE.bat; docs/setup.md</t>
        </is>
      </c>
      <c r="O47" s="3" t="n"/>
      <c r="P47" s="3" t="inlineStr">
        <is>
          <t>Repo mô tả runner riêng SE.</t>
        </is>
      </c>
    </row>
    <row r="48" ht="50.1" customHeight="1" s="16">
      <c r="A48" s="2" t="inlineStr">
        <is>
          <t>LEAD-12</t>
        </is>
      </c>
      <c r="B48" s="2" t="inlineStr">
        <is>
          <t>Tích hợp &amp; bảo mật</t>
        </is>
      </c>
      <c r="C48" s="2" t="inlineStr">
        <is>
          <t>Review/merge &amp; release candidate</t>
        </is>
      </c>
      <c r="D48" s="2" t="inlineStr">
        <is>
          <t>Tổng hợp PR, giải quyết conflict, tag release nội bộ, đảm bảo không có console/server error và secrets.</t>
        </is>
      </c>
      <c r="E48" s="2" t="inlineStr">
        <is>
          <t>Võ Trịnh Quốc Huy</t>
        </is>
      </c>
      <c r="F48" s="2" t="inlineStr">
        <is>
          <t>Võ Văn Khôi Nguyên</t>
        </is>
      </c>
      <c r="G48" s="2" t="inlineStr">
        <is>
          <t>P1</t>
        </is>
      </c>
      <c r="H48" s="2" t="inlineStr">
        <is>
          <t>To Do</t>
        </is>
      </c>
      <c r="I48" s="2" t="inlineStr">
        <is>
          <t>S4</t>
        </is>
      </c>
      <c r="J48" s="4" t="n">
        <v>46335</v>
      </c>
      <c r="K48" s="4" t="n">
        <v>46341</v>
      </c>
      <c r="L48" s="6" t="n">
        <v>0</v>
      </c>
      <c r="M48" s="2" t="inlineStr">
        <is>
          <t>LEAD-08,PLAN-11,TX-12</t>
        </is>
      </c>
      <c r="N48" s="2" t="inlineStr">
        <is>
          <t>main; docs/release-checklist.md</t>
        </is>
      </c>
      <c r="O48" s="2" t="n"/>
      <c r="P48" s="2" t="inlineStr">
        <is>
          <t>Leader chịu trách nhiệm merge.</t>
        </is>
      </c>
    </row>
    <row r="49" ht="50.1" customHeight="1" s="16">
      <c r="A49" s="3" t="inlineStr">
        <is>
          <t>TX-13</t>
        </is>
      </c>
      <c r="B49" s="3" t="inlineStr">
        <is>
          <t>Ví &amp; giao dịch</t>
        </is>
      </c>
      <c r="C49" s="3" t="inlineStr">
        <is>
          <t>E2E bộ ví-giao dịch-danh mục</t>
        </is>
      </c>
      <c r="D49" s="3" t="inlineStr">
        <is>
          <t>Test 2 users, income/expense/transfer/reverse, idempotency, FX, CSV, empty; có ảnh/response và lỗi cụ thể.</t>
        </is>
      </c>
      <c r="E49" s="3" t="inlineStr">
        <is>
          <t>Võ Văn Khôi Nguyên</t>
        </is>
      </c>
      <c r="F49" s="3" t="inlineStr">
        <is>
          <t>Nguyễn Thành Trung</t>
        </is>
      </c>
      <c r="G49" s="3" t="inlineStr">
        <is>
          <t>P1</t>
        </is>
      </c>
      <c r="H49" s="3" t="inlineStr">
        <is>
          <t>To Do</t>
        </is>
      </c>
      <c r="I49" s="3" t="inlineStr">
        <is>
          <t>S4</t>
        </is>
      </c>
      <c r="J49" s="5" t="n">
        <v>46335</v>
      </c>
      <c r="K49" s="5" t="n">
        <v>46341</v>
      </c>
      <c r="L49" s="7" t="n">
        <v>0</v>
      </c>
      <c r="M49" s="3" t="inlineStr">
        <is>
          <t>TX-11,TX-12</t>
        </is>
      </c>
      <c r="N49" s="3" t="inlineStr">
        <is>
          <t>docs/test-evidence/tx/</t>
        </is>
      </c>
      <c r="O49" s="3" t="n"/>
      <c r="P49" s="3" t="inlineStr">
        <is>
          <t>Chỉ Done khi test với MySQL thật.</t>
        </is>
      </c>
    </row>
    <row r="50" ht="50.1" customHeight="1" s="16">
      <c r="A50" s="2" t="inlineStr">
        <is>
          <t>TX-14</t>
        </is>
      </c>
      <c r="B50" s="2" t="inlineStr">
        <is>
          <t>Ví &amp; giao dịch</t>
        </is>
      </c>
      <c r="C50" s="2" t="inlineStr">
        <is>
          <t>E2E lịch định kỳ và race condition</t>
        </is>
      </c>
      <c r="D50" s="2" t="inlineStr">
        <is>
          <t>Test ngày 31, 28/29, auto vs draft, chạy worker lặp không tạo duplicate; kiểm tra số dư sau POST.</t>
        </is>
      </c>
      <c r="E50" s="2" t="inlineStr">
        <is>
          <t>Võ Văn Khôi Nguyên</t>
        </is>
      </c>
      <c r="F50" s="2" t="inlineStr">
        <is>
          <t>Võ Trịnh Quốc Huy</t>
        </is>
      </c>
      <c r="G50" s="2" t="inlineStr">
        <is>
          <t>P1</t>
        </is>
      </c>
      <c r="H50" s="2" t="inlineStr">
        <is>
          <t>To Do</t>
        </is>
      </c>
      <c r="I50" s="2" t="inlineStr">
        <is>
          <t>S4</t>
        </is>
      </c>
      <c r="J50" s="4" t="n">
        <v>46335</v>
      </c>
      <c r="K50" s="4" t="n">
        <v>46341</v>
      </c>
      <c r="L50" s="6" t="n">
        <v>0</v>
      </c>
      <c r="M50" s="2" t="inlineStr">
        <is>
          <t>TX-10</t>
        </is>
      </c>
      <c r="N50" s="2" t="inlineStr">
        <is>
          <t>docs/test-evidence/recurring/</t>
        </is>
      </c>
      <c r="O50" s="2" t="n"/>
      <c r="P50" s="2" t="inlineStr">
        <is>
          <t>Có test unit, cần E2E.</t>
        </is>
      </c>
    </row>
    <row r="51" ht="50.1" customHeight="1" s="16">
      <c r="A51" s="3" t="inlineStr">
        <is>
          <t>PLAN-12</t>
        </is>
      </c>
      <c r="B51" s="3" t="inlineStr">
        <is>
          <t>Ngân sách &amp; tài sản</t>
        </is>
      </c>
      <c r="C51" s="3" t="inlineStr">
        <is>
          <t>E2E ngân sách, tích lũy, vay</t>
        </is>
      </c>
      <c r="D51" s="3" t="inlineStr">
        <is>
          <t>Test ngưỡng 80/100, saving allocation, vay/cho vay, trả gốc/lãi, net worth cross-check bằng SQL.</t>
        </is>
      </c>
      <c r="E51" s="3" t="inlineStr">
        <is>
          <t>Phạm Nguyễn Tuấn Kiệt</t>
        </is>
      </c>
      <c r="F51" s="3" t="inlineStr">
        <is>
          <t>Nguyễn Thành Trung</t>
        </is>
      </c>
      <c r="G51" s="3" t="inlineStr">
        <is>
          <t>P1</t>
        </is>
      </c>
      <c r="H51" s="3" t="inlineStr">
        <is>
          <t>To Do</t>
        </is>
      </c>
      <c r="I51" s="3" t="inlineStr">
        <is>
          <t>S4</t>
        </is>
      </c>
      <c r="J51" s="5" t="n">
        <v>46335</v>
      </c>
      <c r="K51" s="5" t="n">
        <v>46341</v>
      </c>
      <c r="L51" s="7" t="n">
        <v>0</v>
      </c>
      <c r="M51" s="3" t="inlineStr">
        <is>
          <t>PLAN-11</t>
        </is>
      </c>
      <c r="N51" s="3" t="inlineStr">
        <is>
          <t>docs/test-evidence/finance/</t>
        </is>
      </c>
      <c r="O51" s="3" t="n"/>
      <c r="P51" s="3" t="inlineStr">
        <is>
          <t>Kịch bản không tính trùng tiền.</t>
        </is>
      </c>
    </row>
    <row r="52" ht="50.1" customHeight="1" s="16">
      <c r="A52" s="2" t="inlineStr">
        <is>
          <t>PLAN-13</t>
        </is>
      </c>
      <c r="B52" s="2" t="inlineStr">
        <is>
          <t>Ngân sách &amp; tài sản</t>
        </is>
      </c>
      <c r="C52" s="2" t="inlineStr">
        <is>
          <t>Test báo cáo với edge cases</t>
        </is>
      </c>
      <c r="D52" s="2" t="inlineStr">
        <is>
          <t>Income=0, giao dịch reversal, chuyển nội bộ, khác kỳ, dữ liệu âm; CSV/chart khớp SQL.</t>
        </is>
      </c>
      <c r="E52" s="2" t="inlineStr">
        <is>
          <t>Phạm Nguyễn Tuấn Kiệt</t>
        </is>
      </c>
      <c r="F52" s="2" t="inlineStr">
        <is>
          <t>Võ Trịnh Quốc Huy</t>
        </is>
      </c>
      <c r="G52" s="2" t="inlineStr">
        <is>
          <t>P1</t>
        </is>
      </c>
      <c r="H52" s="2" t="inlineStr">
        <is>
          <t>To Do</t>
        </is>
      </c>
      <c r="I52" s="2" t="inlineStr">
        <is>
          <t>S4</t>
        </is>
      </c>
      <c r="J52" s="4" t="n">
        <v>46335</v>
      </c>
      <c r="K52" s="4" t="n">
        <v>46341</v>
      </c>
      <c r="L52" s="6" t="n">
        <v>0</v>
      </c>
      <c r="M52" s="2" t="inlineStr">
        <is>
          <t>PLAN-11,TX-12</t>
        </is>
      </c>
      <c r="N52" s="2" t="inlineStr">
        <is>
          <t>docs/test-evidence/report/</t>
        </is>
      </c>
      <c r="O52" s="2" t="n"/>
      <c r="P52" s="2" t="inlineStr">
        <is>
          <t>Đảm bảo không chia 0.</t>
        </is>
      </c>
    </row>
    <row r="53" ht="50.1" customHeight="1" s="16">
      <c r="A53" s="3" t="inlineStr">
        <is>
          <t>DB-10</t>
        </is>
      </c>
      <c r="B53" s="3" t="inlineStr">
        <is>
          <t>Database &amp; tài liệu</t>
        </is>
      </c>
      <c r="C53" s="3" t="inlineStr">
        <is>
          <t>ERD cuối + SQL integrity checks</t>
        </is>
      </c>
      <c r="D53" s="3" t="inlineStr">
        <is>
          <t>Chạy FK/unique/index/ownership, backup/restore thử, cập nhật ERD khớp actual schema sau merge.</t>
        </is>
      </c>
      <c r="E53" s="3" t="inlineStr">
        <is>
          <t>Nguyễn Thành Trung</t>
        </is>
      </c>
      <c r="F53" s="3" t="inlineStr">
        <is>
          <t>Võ Trịnh Quốc Huy</t>
        </is>
      </c>
      <c r="G53" s="3" t="inlineStr">
        <is>
          <t>P1</t>
        </is>
      </c>
      <c r="H53" s="3" t="inlineStr">
        <is>
          <t>To Do</t>
        </is>
      </c>
      <c r="I53" s="3" t="inlineStr">
        <is>
          <t>S4</t>
        </is>
      </c>
      <c r="J53" s="5" t="n">
        <v>46335</v>
      </c>
      <c r="K53" s="5" t="n">
        <v>46341</v>
      </c>
      <c r="L53" s="7" t="n">
        <v>0</v>
      </c>
      <c r="M53" s="3" t="inlineStr">
        <is>
          <t>DB-08,PLAN-11</t>
        </is>
      </c>
      <c r="N53" s="3" t="inlineStr">
        <is>
          <t>docs/erd.mmd; docs/data-dictionary.md; docs/db-integrity.md</t>
        </is>
      </c>
      <c r="O53" s="3" t="n"/>
      <c r="P53" s="3" t="inlineStr">
        <is>
          <t>Trung phụ trách DB tới nghiệm thu.</t>
        </is>
      </c>
    </row>
    <row r="54" ht="50.1" customHeight="1" s="16">
      <c r="A54" s="2" t="inlineStr">
        <is>
          <t>DB-11</t>
        </is>
      </c>
      <c r="B54" s="2" t="inlineStr">
        <is>
          <t>Database &amp; tài liệu</t>
        </is>
      </c>
      <c r="C54" s="2" t="inlineStr">
        <is>
          <t>SRS/Use case/UML phù hợp phiên bản</t>
        </is>
      </c>
      <c r="D54" s="2" t="inlineStr">
        <is>
          <t>SRS nêu FR, actor, pre/postconditions, use case, activity, sequence luồng thu–chi và quản lý nợ; phân biệt demo/đã chạy.</t>
        </is>
      </c>
      <c r="E54" s="2" t="inlineStr">
        <is>
          <t>Nguyễn Thành Trung</t>
        </is>
      </c>
      <c r="F54" s="2" t="inlineStr">
        <is>
          <t>Võ Trịnh Quốc Huy</t>
        </is>
      </c>
      <c r="G54" s="2" t="inlineStr">
        <is>
          <t>P1</t>
        </is>
      </c>
      <c r="H54" s="2" t="inlineStr">
        <is>
          <t>To Do</t>
        </is>
      </c>
      <c r="I54" s="2" t="inlineStr">
        <is>
          <t>S4</t>
        </is>
      </c>
      <c r="J54" s="4" t="n">
        <v>46335</v>
      </c>
      <c r="K54" s="4" t="n">
        <v>46341</v>
      </c>
      <c r="L54" s="6" t="n">
        <v>0</v>
      </c>
      <c r="M54" s="2" t="inlineStr">
        <is>
          <t>LEAD-12</t>
        </is>
      </c>
      <c r="N54" s="2" t="inlineStr">
        <is>
          <t>docs/SRS.md; docs/uml/</t>
        </is>
      </c>
      <c r="O54" s="2" t="n"/>
      <c r="P54" s="2" t="inlineStr">
        <is>
          <t>Hỗ trợ tài liệu, dev xác nhận nghiệp vụ.</t>
        </is>
      </c>
    </row>
    <row r="55" ht="50.1" customHeight="1" s="16">
      <c r="A55" s="3" t="inlineStr">
        <is>
          <t>DB-12</t>
        </is>
      </c>
      <c r="B55" s="3" t="inlineStr">
        <is>
          <t>Database &amp; tài liệu</t>
        </is>
      </c>
      <c r="C55" s="3" t="inlineStr">
        <is>
          <t>Báo cáo, hướng dẫn cài và kịch bản demo</t>
        </is>
      </c>
      <c r="D55" s="3" t="inlineStr">
        <is>
          <t>Viết kiến trúc/ERD/API/kiểm thử, bảng đóng góp; demo login→wallet→thu/chi→budget→loan→report→backup.</t>
        </is>
      </c>
      <c r="E55" s="3" t="inlineStr">
        <is>
          <t>Nguyễn Thành Trung</t>
        </is>
      </c>
      <c r="F55" s="3" t="inlineStr">
        <is>
          <t>Võ Trịnh Quốc Huy</t>
        </is>
      </c>
      <c r="G55" s="3" t="inlineStr">
        <is>
          <t>P1</t>
        </is>
      </c>
      <c r="H55" s="3" t="inlineStr">
        <is>
          <t>To Do</t>
        </is>
      </c>
      <c r="I55" s="3" t="inlineStr">
        <is>
          <t>S4</t>
        </is>
      </c>
      <c r="J55" s="5" t="n">
        <v>46335</v>
      </c>
      <c r="K55" s="5" t="n">
        <v>46341</v>
      </c>
      <c r="L55" s="7" t="n">
        <v>0</v>
      </c>
      <c r="M55" s="3" t="inlineStr">
        <is>
          <t>DB-10,DB-11</t>
        </is>
      </c>
      <c r="N55" s="3" t="inlineStr">
        <is>
          <t>docs/REPORT.md; docs/DEMO.md</t>
        </is>
      </c>
      <c r="O55" s="3" t="n"/>
      <c r="P55" s="3" t="inlineStr">
        <is>
          <t>Bằng chứng từng phần phải lấy từ test thực.</t>
        </is>
      </c>
    </row>
    <row r="56" ht="50.1" customHeight="1" s="16">
      <c r="A56" s="2" t="inlineStr">
        <is>
          <t>QA-02</t>
        </is>
      </c>
      <c r="B56" s="2" t="inlineStr">
        <is>
          <t>Kiểm thử &amp; nghiệm thu</t>
        </is>
      </c>
      <c r="C56" s="2" t="inlineStr">
        <is>
          <t>Hồi quy bảo mật &amp; responsive cuối kỳ</t>
        </is>
      </c>
      <c r="D56" s="2" t="inlineStr">
        <is>
          <t>Test mobile 375/768/desktop; IDOR, CSRF/XSS cơ bản, lỗi 422/401/403; ghi bug có owner sửa.</t>
        </is>
      </c>
      <c r="E56" s="2" t="inlineStr">
        <is>
          <t>Võ Trịnh Quốc Huy</t>
        </is>
      </c>
      <c r="F56" s="2" t="inlineStr">
        <is>
          <t>Phạm Nguyễn Tuấn Kiệt</t>
        </is>
      </c>
      <c r="G56" s="2" t="inlineStr">
        <is>
          <t>P1</t>
        </is>
      </c>
      <c r="H56" s="2" t="inlineStr">
        <is>
          <t>To Do</t>
        </is>
      </c>
      <c r="I56" s="2" t="inlineStr">
        <is>
          <t>S4</t>
        </is>
      </c>
      <c r="J56" s="4" t="n">
        <v>46335</v>
      </c>
      <c r="K56" s="4" t="n">
        <v>46341</v>
      </c>
      <c r="L56" s="6" t="n">
        <v>0</v>
      </c>
      <c r="M56" s="2" t="inlineStr">
        <is>
          <t>LEAD-10,TX-13,PLAN-12</t>
        </is>
      </c>
      <c r="N56" s="2" t="inlineStr">
        <is>
          <t>docs/qa-summary.md</t>
        </is>
      </c>
      <c r="O56" s="2" t="n"/>
      <c r="P56" s="2" t="inlineStr">
        <is>
          <t>Chỉ ký nghiệm thu khi P1 pass.</t>
        </is>
      </c>
    </row>
    <row r="57" ht="50.1" customHeight="1" s="16">
      <c r="A57" s="3" t="inlineStr">
        <is>
          <t>DOC-01</t>
        </is>
      </c>
      <c r="B57" s="3" t="inlineStr">
        <is>
          <t>Database &amp; tài liệu</t>
        </is>
      </c>
      <c r="C57" s="3" t="inlineStr">
        <is>
          <t>Nhật ký họp, phân công và minh chứng</t>
        </is>
      </c>
      <c r="D57" s="3" t="inlineStr">
        <is>
          <t>Tập hợp meeting minutes, task/PR/commit, ảnh test; mỗi task Done phải có link PR/proof; giữ bản thay đổi.</t>
        </is>
      </c>
      <c r="E57" s="3" t="inlineStr">
        <is>
          <t>Nguyễn Thành Trung</t>
        </is>
      </c>
      <c r="F57" s="3" t="inlineStr">
        <is>
          <t>Võ Trịnh Quốc Huy</t>
        </is>
      </c>
      <c r="G57" s="3" t="inlineStr">
        <is>
          <t>P2</t>
        </is>
      </c>
      <c r="H57" s="3" t="inlineStr">
        <is>
          <t>To Do</t>
        </is>
      </c>
      <c r="I57" s="3" t="inlineStr">
        <is>
          <t>S1</t>
        </is>
      </c>
      <c r="J57" s="5" t="n">
        <v>46314</v>
      </c>
      <c r="K57" s="5" t="n">
        <v>46320</v>
      </c>
      <c r="L57" s="7" t="n">
        <v>0</v>
      </c>
      <c r="M57" s="3" t="inlineStr">
        <is>
          <t>LEAD-03</t>
        </is>
      </c>
      <c r="N57" s="3" t="inlineStr">
        <is>
          <t>docs/team-worklog.md; workbook Tasks</t>
        </is>
      </c>
      <c r="O57" s="3" t="n"/>
      <c r="P57" s="3" t="inlineStr">
        <is>
          <t>Công việc tài liệu xuyên 4 Sprint.</t>
        </is>
      </c>
    </row>
  </sheetData>
  <mergeCells count="2">
    <mergeCell ref="A1:P1"/>
    <mergeCell ref="A2:P2"/>
  </mergeCells>
  <conditionalFormatting sqref="L4:L57">
    <cfRule type="dataBar" priority="1">
      <dataBar>
        <cfvo type="min"/>
        <cfvo type="max"/>
        <color rgb="FF11998E"/>
      </dataBar>
    </cfRule>
    <cfRule type="dataBar" priority="6">
      <dataBar>
        <cfvo type="min"/>
        <cfvo type="max"/>
        <color rgb="FF11998E"/>
      </dataBar>
    </cfRule>
  </conditionalFormatting>
  <conditionalFormatting sqref="H4:H57">
    <cfRule type="expression" priority="2" dxfId="5">
      <formula>$H4="Done"</formula>
    </cfRule>
    <cfRule type="expression" priority="3" dxfId="4">
      <formula>$H4="Blocked"</formula>
    </cfRule>
    <cfRule type="expression" priority="4" dxfId="3">
      <formula>$H4="In Review"</formula>
    </cfRule>
  </conditionalFormatting>
  <conditionalFormatting sqref="G4:G57">
    <cfRule type="expression" priority="5" dxfId="2">
      <formula>$G4="P1"</formula>
    </cfRule>
  </conditionalFormatting>
  <dataValidations count="5">
    <dataValidation sqref="L4:L57" showDropDown="0" showInputMessage="0" showErrorMessage="0" allowBlank="0" type="whole">
      <formula1>0</formula1>
      <formula2>100</formula2>
    </dataValidation>
    <dataValidation sqref="G4:G57" showDropDown="0" showInputMessage="0" showErrorMessage="0" allowBlank="0" type="list">
      <formula1>"P1,P2,P3"</formula1>
    </dataValidation>
    <dataValidation sqref="H4:H57" showDropDown="0" showInputMessage="0" showErrorMessage="0" allowBlank="0" type="list">
      <formula1>"To Do,In Progress,In Review,Blocked,Done"</formula1>
    </dataValidation>
    <dataValidation sqref="I4:I57" showDropDown="0" showInputMessage="0" showErrorMessage="0" allowBlank="0" type="list">
      <formula1>"S1,S2,S3,S4"</formula1>
    </dataValidation>
    <dataValidation sqref="E4:E57" showDropDown="0" showInputMessage="0" showErrorMessage="0" allowBlank="0" type="list">
      <formula1>"Võ Trịnh Quốc Huy,Võ Văn Khôi Nguyên,Phạm Nguyễn Tuấn Kiệt,Nguyễn Thành Trung"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6" min="1" max="1"/>
    <col width="34" customWidth="1" style="16" min="2" max="2"/>
    <col width="26" customWidth="1" style="16" min="3" max="3"/>
    <col width="39" customWidth="1" style="16" min="4" max="5"/>
    <col width="15" customWidth="1" style="16" min="6" max="6"/>
    <col width="20" customWidth="1" style="16" min="7" max="7"/>
    <col width="16" customWidth="1" style="16" min="8" max="8"/>
    <col width="18" customWidth="1" style="16" min="9" max="9"/>
    <col width="16" customWidth="1" style="16" min="10" max="11"/>
    <col width="17" customWidth="1" style="16" min="12" max="12"/>
  </cols>
  <sheetData>
    <row r="1" ht="39" customHeight="1" s="16">
      <c r="A1" s="12" t="inlineStr">
        <is>
          <t>WEALTHFLOW  |  DASHBOARD &amp; MỐC TIẾN ĐỘ</t>
        </is>
      </c>
    </row>
    <row r="2" ht="29.1" customHeight="1" s="16">
      <c r="A2" s="13" t="inlineStr">
        <is>
          <t>Đồ án CNPM — 4 thành viên / 3 người lập trình / 1 người Database &amp; tài liệu. Trạng thái bên dưới tự cập nhật từ sheet PhanCong.</t>
        </is>
      </c>
    </row>
    <row r="4" ht="30" customHeight="1" s="16">
      <c r="A4" s="20" t="inlineStr">
        <is>
          <t>TỔNG CÔNG VIỆC</t>
        </is>
      </c>
      <c r="C4" s="20" t="inlineStr">
        <is>
          <t>CHƯA LÀM</t>
        </is>
      </c>
      <c r="E4" s="20" t="inlineStr">
        <is>
          <t>ĐANG THỰC HIỆN</t>
        </is>
      </c>
      <c r="G4" s="20" t="inlineStr">
        <is>
          <t>CHỜ REVIEW</t>
        </is>
      </c>
      <c r="I4" s="20" t="inlineStr">
        <is>
          <t>HOÀN THÀNH</t>
        </is>
      </c>
      <c r="K4" s="20" t="inlineStr">
        <is>
          <t>TIẾN ĐỘ CHUNG</t>
        </is>
      </c>
    </row>
    <row r="5" ht="26.1" customHeight="1" s="16">
      <c r="A5" s="18">
        <f>COUNTA(PhanCong!$A$4:$A$57)</f>
        <v/>
      </c>
      <c r="C5" s="18">
        <f>COUNTIF(PhanCong!$H$4:$H$57,"To Do")</f>
        <v/>
      </c>
      <c r="E5" s="18">
        <f>COUNTIF(PhanCong!$H$4:$H$57,"In Progress")+COUNTIF(PhanCong!$H$4:$H$57,"Blocked")</f>
        <v/>
      </c>
      <c r="G5" s="18">
        <f>COUNTIF(PhanCong!$H$4:$H$57,"In Review")</f>
        <v/>
      </c>
      <c r="I5" s="18">
        <f>COUNTIF(PhanCong!$H$4:$H$57,"Done")</f>
        <v/>
      </c>
      <c r="K5" s="17">
        <f>IFERROR(AVERAGE(PhanCong!$L$4:$L$57)/100,0)</f>
        <v/>
      </c>
    </row>
    <row r="6" ht="26.1" customHeight="1" s="16"/>
    <row r="8" ht="27" customHeight="1" s="16">
      <c r="A8" s="19" t="inlineStr">
        <is>
          <t>TIẾN ĐỘ THEO PHÂN HỆ</t>
        </is>
      </c>
    </row>
    <row r="9" ht="32.1" customHeight="1" s="16">
      <c r="A9" s="1" t="inlineStr">
        <is>
          <t>STT</t>
        </is>
      </c>
      <c r="B9" s="1" t="inlineStr">
        <is>
          <t>Phân hệ</t>
        </is>
      </c>
      <c r="C9" s="1" t="inlineStr">
        <is>
          <t>Số task</t>
        </is>
      </c>
      <c r="D9" s="1" t="inlineStr">
        <is>
          <t>Done</t>
        </is>
      </c>
      <c r="E9" s="1" t="inlineStr">
        <is>
          <t>Đang làm</t>
        </is>
      </c>
      <c r="F9" s="1" t="inlineStr">
        <is>
          <t>Chưa làm</t>
        </is>
      </c>
      <c r="G9" s="1" t="inlineStr">
        <is>
          <t>Hoàn tất (%)</t>
        </is>
      </c>
    </row>
    <row r="10" ht="27.95" customHeight="1" s="16">
      <c r="A10" s="2" t="n">
        <v>1</v>
      </c>
      <c r="B10" s="2" t="inlineStr">
        <is>
          <t>Tích hợp &amp; bảo mật</t>
        </is>
      </c>
      <c r="C10" s="2">
        <f>COUNTIF(PhanCong!$B$4:$B$57,B10)</f>
        <v/>
      </c>
      <c r="D10" s="2">
        <f>COUNTIFS(PhanCong!$B$4:$B$57,B10,PhanCong!$H$4:$H$57,"Done")</f>
        <v/>
      </c>
      <c r="E10" s="2">
        <f>COUNTIFS(PhanCong!$B$4:$B$57,B10,PhanCong!$H$4:$H$57,"In Progress")+COUNTIFS(PhanCong!$B$4:$B$57,B10,PhanCong!$H$4:$H$57,"Blocked")+COUNTIFS(PhanCong!$B$4:$B$57,B10,PhanCong!$H$4:$H$57,"In Review")</f>
        <v/>
      </c>
      <c r="F10" s="2">
        <f>COUNTIFS(PhanCong!$B$4:$B$57,B10,PhanCong!$H$4:$H$57,"To Do")</f>
        <v/>
      </c>
      <c r="G10" s="8">
        <f>IFERROR(AVERAGEIF(PhanCong!$B$4:$B$57,B10,PhanCong!$L$4:$L$57)/100,0)</f>
        <v/>
      </c>
    </row>
    <row r="11" ht="27.95" customHeight="1" s="16">
      <c r="A11" s="2" t="n">
        <v>2</v>
      </c>
      <c r="B11" s="2" t="inlineStr">
        <is>
          <t>Ví &amp; giao dịch</t>
        </is>
      </c>
      <c r="C11" s="2">
        <f>COUNTIF(PhanCong!$B$4:$B$57,B11)</f>
        <v/>
      </c>
      <c r="D11" s="2">
        <f>COUNTIFS(PhanCong!$B$4:$B$57,B11,PhanCong!$H$4:$H$57,"Done")</f>
        <v/>
      </c>
      <c r="E11" s="2">
        <f>COUNTIFS(PhanCong!$B$4:$B$57,B11,PhanCong!$H$4:$H$57,"In Progress")+COUNTIFS(PhanCong!$B$4:$B$57,B11,PhanCong!$H$4:$H$57,"Blocked")+COUNTIFS(PhanCong!$B$4:$B$57,B11,PhanCong!$H$4:$H$57,"In Review")</f>
        <v/>
      </c>
      <c r="F11" s="2">
        <f>COUNTIFS(PhanCong!$B$4:$B$57,B11,PhanCong!$H$4:$H$57,"To Do")</f>
        <v/>
      </c>
      <c r="G11" s="8">
        <f>IFERROR(AVERAGEIF(PhanCong!$B$4:$B$57,B11,PhanCong!$L$4:$L$57)/100,0)</f>
        <v/>
      </c>
    </row>
    <row r="12" ht="27.95" customHeight="1" s="16">
      <c r="A12" s="2" t="n">
        <v>3</v>
      </c>
      <c r="B12" s="2" t="inlineStr">
        <is>
          <t>Ngân sách &amp; tài sản</t>
        </is>
      </c>
      <c r="C12" s="2">
        <f>COUNTIF(PhanCong!$B$4:$B$57,B12)</f>
        <v/>
      </c>
      <c r="D12" s="2">
        <f>COUNTIFS(PhanCong!$B$4:$B$57,B12,PhanCong!$H$4:$H$57,"Done")</f>
        <v/>
      </c>
      <c r="E12" s="2">
        <f>COUNTIFS(PhanCong!$B$4:$B$57,B12,PhanCong!$H$4:$H$57,"In Progress")+COUNTIFS(PhanCong!$B$4:$B$57,B12,PhanCong!$H$4:$H$57,"Blocked")+COUNTIFS(PhanCong!$B$4:$B$57,B12,PhanCong!$H$4:$H$57,"In Review")</f>
        <v/>
      </c>
      <c r="F12" s="2">
        <f>COUNTIFS(PhanCong!$B$4:$B$57,B12,PhanCong!$H$4:$H$57,"To Do")</f>
        <v/>
      </c>
      <c r="G12" s="8">
        <f>IFERROR(AVERAGEIF(PhanCong!$B$4:$B$57,B12,PhanCong!$L$4:$L$57)/100,0)</f>
        <v/>
      </c>
    </row>
    <row r="13" ht="27.95" customHeight="1" s="16">
      <c r="A13" s="2" t="n">
        <v>4</v>
      </c>
      <c r="B13" s="2" t="inlineStr">
        <is>
          <t>Database &amp; tài liệu</t>
        </is>
      </c>
      <c r="C13" s="2">
        <f>COUNTIF(PhanCong!$B$4:$B$57,B13)</f>
        <v/>
      </c>
      <c r="D13" s="2">
        <f>COUNTIFS(PhanCong!$B$4:$B$57,B13,PhanCong!$H$4:$H$57,"Done")</f>
        <v/>
      </c>
      <c r="E13" s="2">
        <f>COUNTIFS(PhanCong!$B$4:$B$57,B13,PhanCong!$H$4:$H$57,"In Progress")+COUNTIFS(PhanCong!$B$4:$B$57,B13,PhanCong!$H$4:$H$57,"Blocked")+COUNTIFS(PhanCong!$B$4:$B$57,B13,PhanCong!$H$4:$H$57,"In Review")</f>
        <v/>
      </c>
      <c r="F13" s="2">
        <f>COUNTIFS(PhanCong!$B$4:$B$57,B13,PhanCong!$H$4:$H$57,"To Do")</f>
        <v/>
      </c>
      <c r="G13" s="8">
        <f>IFERROR(AVERAGEIF(PhanCong!$B$4:$B$57,B13,PhanCong!$L$4:$L$57)/100,0)</f>
        <v/>
      </c>
    </row>
    <row r="14" ht="27.95" customHeight="1" s="16">
      <c r="A14" s="2" t="n">
        <v>5</v>
      </c>
      <c r="B14" s="2" t="inlineStr">
        <is>
          <t>Kiểm thử &amp; nghiệm thu</t>
        </is>
      </c>
      <c r="C14" s="2">
        <f>COUNTIF(PhanCong!$B$4:$B$57,B14)</f>
        <v/>
      </c>
      <c r="D14" s="2">
        <f>COUNTIFS(PhanCong!$B$4:$B$57,B14,PhanCong!$H$4:$H$57,"Done")</f>
        <v/>
      </c>
      <c r="E14" s="2">
        <f>COUNTIFS(PhanCong!$B$4:$B$57,B14,PhanCong!$H$4:$H$57,"In Progress")+COUNTIFS(PhanCong!$B$4:$B$57,B14,PhanCong!$H$4:$H$57,"Blocked")+COUNTIFS(PhanCong!$B$4:$B$57,B14,PhanCong!$H$4:$H$57,"In Review")</f>
        <v/>
      </c>
      <c r="F14" s="2">
        <f>COUNTIFS(PhanCong!$B$4:$B$57,B14,PhanCong!$H$4:$H$57,"To Do")</f>
        <v/>
      </c>
      <c r="G14" s="8">
        <f>IFERROR(AVERAGEIF(PhanCong!$B$4:$B$57,B14,PhanCong!$L$4:$L$57)/100,0)</f>
        <v/>
      </c>
    </row>
    <row r="17" ht="27" customHeight="1" s="16">
      <c r="A17" s="19" t="inlineStr">
        <is>
          <t>KHỐI LƯỢNG CÔNG VIỆC THEO THÀNH VIÊN</t>
        </is>
      </c>
    </row>
    <row r="18" ht="32.1" customHeight="1" s="16">
      <c r="A18" s="1" t="inlineStr">
        <is>
          <t>STT</t>
        </is>
      </c>
      <c r="B18" s="1" t="inlineStr">
        <is>
          <t>Thành viên</t>
        </is>
      </c>
      <c r="C18" s="1" t="inlineStr">
        <is>
          <t>Số task</t>
        </is>
      </c>
      <c r="D18" s="1" t="inlineStr">
        <is>
          <t>Done</t>
        </is>
      </c>
      <c r="E18" s="1" t="inlineStr">
        <is>
          <t>Đang làm</t>
        </is>
      </c>
      <c r="F18" s="1" t="inlineStr">
        <is>
          <t>Còn lại</t>
        </is>
      </c>
      <c r="G18" s="1" t="inlineStr">
        <is>
          <t>Hoàn tất (%)</t>
        </is>
      </c>
    </row>
    <row r="19" ht="27.95" customHeight="1" s="16">
      <c r="A19" s="2" t="n">
        <v>1</v>
      </c>
      <c r="B19" s="2" t="inlineStr">
        <is>
          <t>Võ Trịnh Quốc Huy</t>
        </is>
      </c>
      <c r="C19" s="2">
        <f>COUNTIF(PhanCong!$E$4:$E$57,B19)</f>
        <v/>
      </c>
      <c r="D19" s="2">
        <f>COUNTIFS(PhanCong!$E$4:$E$57,B19,PhanCong!$H$4:$H$57,"Done")</f>
        <v/>
      </c>
      <c r="E19" s="2">
        <f>COUNTIFS(PhanCong!$E$4:$E$57,B19,PhanCong!$H$4:$H$57,"In Progress")+COUNTIFS(PhanCong!$E$4:$E$57,B19,PhanCong!$H$4:$H$57,"In Review")</f>
        <v/>
      </c>
      <c r="F19" s="2">
        <f>C19-D19-E19</f>
        <v/>
      </c>
      <c r="G19" s="8">
        <f>IFERROR(AVERAGEIF(PhanCong!$E$4:$E$57,B19,PhanCong!$L$4:$L$57)/100,0)</f>
        <v/>
      </c>
    </row>
    <row r="20" ht="27.95" customHeight="1" s="16">
      <c r="A20" s="2" t="n">
        <v>2</v>
      </c>
      <c r="B20" s="2" t="inlineStr">
        <is>
          <t>Võ Văn Khôi Nguyên</t>
        </is>
      </c>
      <c r="C20" s="2">
        <f>COUNTIF(PhanCong!$E$4:$E$57,B20)</f>
        <v/>
      </c>
      <c r="D20" s="2">
        <f>COUNTIFS(PhanCong!$E$4:$E$57,B20,PhanCong!$H$4:$H$57,"Done")</f>
        <v/>
      </c>
      <c r="E20" s="2">
        <f>COUNTIFS(PhanCong!$E$4:$E$57,B20,PhanCong!$H$4:$H$57,"In Progress")+COUNTIFS(PhanCong!$E$4:$E$57,B20,PhanCong!$H$4:$H$57,"In Review")</f>
        <v/>
      </c>
      <c r="F20" s="2">
        <f>C20-D20-E20</f>
        <v/>
      </c>
      <c r="G20" s="8">
        <f>IFERROR(AVERAGEIF(PhanCong!$E$4:$E$57,B20,PhanCong!$L$4:$L$57)/100,0)</f>
        <v/>
      </c>
    </row>
    <row r="21" ht="27.95" customHeight="1" s="16">
      <c r="A21" s="2" t="n">
        <v>3</v>
      </c>
      <c r="B21" s="2" t="inlineStr">
        <is>
          <t>Phạm Nguyễn Tuấn Kiệt</t>
        </is>
      </c>
      <c r="C21" s="2">
        <f>COUNTIF(PhanCong!$E$4:$E$57,B21)</f>
        <v/>
      </c>
      <c r="D21" s="2">
        <f>COUNTIFS(PhanCong!$E$4:$E$57,B21,PhanCong!$H$4:$H$57,"Done")</f>
        <v/>
      </c>
      <c r="E21" s="2">
        <f>COUNTIFS(PhanCong!$E$4:$E$57,B21,PhanCong!$H$4:$H$57,"In Progress")+COUNTIFS(PhanCong!$E$4:$E$57,B21,PhanCong!$H$4:$H$57,"In Review")</f>
        <v/>
      </c>
      <c r="F21" s="2">
        <f>C21-D21-E21</f>
        <v/>
      </c>
      <c r="G21" s="8">
        <f>IFERROR(AVERAGEIF(PhanCong!$E$4:$E$57,B21,PhanCong!$L$4:$L$57)/100,0)</f>
        <v/>
      </c>
    </row>
    <row r="22" ht="27.95" customHeight="1" s="16">
      <c r="A22" s="2" t="n">
        <v>4</v>
      </c>
      <c r="B22" s="2" t="inlineStr">
        <is>
          <t>Nguyễn Thành Trung</t>
        </is>
      </c>
      <c r="C22" s="2">
        <f>COUNTIF(PhanCong!$E$4:$E$57,B22)</f>
        <v/>
      </c>
      <c r="D22" s="2">
        <f>COUNTIFS(PhanCong!$E$4:$E$57,B22,PhanCong!$H$4:$H$57,"Done")</f>
        <v/>
      </c>
      <c r="E22" s="2">
        <f>COUNTIFS(PhanCong!$E$4:$E$57,B22,PhanCong!$H$4:$H$57,"In Progress")+COUNTIFS(PhanCong!$E$4:$E$57,B22,PhanCong!$H$4:$H$57,"In Review")</f>
        <v/>
      </c>
      <c r="F22" s="2">
        <f>C22-D22-E22</f>
        <v/>
      </c>
      <c r="G22" s="8">
        <f>IFERROR(AVERAGEIF(PhanCong!$E$4:$E$57,B22,PhanCong!$L$4:$L$57)/100,0)</f>
        <v/>
      </c>
    </row>
    <row r="25" ht="27" customHeight="1" s="16">
      <c r="A25" s="19" t="inlineStr">
        <is>
          <t>4 SPRINT — LỊCH DỰ KIẾN, CÓ THỂ ĐIỀU CHỈNH THEO DEADLINE CỦA GIẢNG VIÊN</t>
        </is>
      </c>
    </row>
    <row r="26" ht="32.1" customHeight="1" s="16">
      <c r="A26" s="1" t="inlineStr">
        <is>
          <t>Sprint</t>
        </is>
      </c>
      <c r="B26" s="1" t="inlineStr">
        <is>
          <t>Khoảng thời gian</t>
        </is>
      </c>
      <c r="C26" s="1" t="inlineStr">
        <is>
          <t>Trọng tâm</t>
        </is>
      </c>
      <c r="D26" s="1" t="inlineStr">
        <is>
          <t>Đầu ra nghiệm thu</t>
        </is>
      </c>
      <c r="E26" s="1" t="inlineStr">
        <is>
          <t>Điều kiện chuyển giai đoạn</t>
        </is>
      </c>
    </row>
    <row r="27" ht="51.95" customHeight="1" s="16">
      <c r="A27" s="2" t="inlineStr">
        <is>
          <t>S1</t>
        </is>
      </c>
      <c r="B27" s="2" t="inlineStr">
        <is>
          <t>19–25/10/2026</t>
        </is>
      </c>
      <c r="C27" s="2" t="inlineStr">
        <is>
          <t>Baseline, ERD, API contract, auth</t>
        </is>
      </c>
      <c r="D27" s="2" t="inlineStr">
        <is>
          <t>Tài liệu kiến trúc, seed và chạy xác thực được</t>
        </is>
      </c>
      <c r="E27" s="2" t="inlineStr">
        <is>
          <t>Có ERD / API contract / test baseline</t>
        </is>
      </c>
    </row>
    <row r="28" ht="51.95" customHeight="1" s="16">
      <c r="A28" s="2" t="inlineStr">
        <is>
          <t>S2</t>
        </is>
      </c>
      <c r="B28" s="2" t="inlineStr">
        <is>
          <t>26/10–01/11/2026</t>
        </is>
      </c>
      <c r="C28" s="2" t="inlineStr">
        <is>
          <t>Thu/chi-ví-ngân sách-định kỳ nối MySQL</t>
        </is>
      </c>
      <c r="D28" s="2" t="inlineStr">
        <is>
          <t>Luồng E2E wallets→transactions→budget/recurring</t>
        </is>
      </c>
      <c r="E28" s="2" t="inlineStr">
        <is>
          <t>Reload vẫn còn dữ liệu, không giả mock</t>
        </is>
      </c>
    </row>
    <row r="29" ht="51.95" customHeight="1" s="16">
      <c r="A29" s="2" t="inlineStr">
        <is>
          <t>S3</t>
        </is>
      </c>
      <c r="B29" s="2" t="inlineStr">
        <is>
          <t>02–08/11/2026</t>
        </is>
      </c>
      <c r="C29" s="2" t="inlineStr">
        <is>
          <t>Tiết kiệm, vay/nợ, vàng, net worth, báo cáo</t>
        </is>
      </c>
      <c r="D29" s="2" t="inlineStr">
        <is>
          <t>Dashboard + báo cáo tính từ sổ cái thật</t>
        </is>
      </c>
      <c r="E29" s="2" t="inlineStr">
        <is>
          <t>SQL và chỉ số UI đối chiếu đúng</t>
        </is>
      </c>
    </row>
    <row r="30" ht="51.95" customHeight="1" s="16">
      <c r="A30" s="2" t="inlineStr">
        <is>
          <t>S4</t>
        </is>
      </c>
      <c r="B30" s="2" t="inlineStr">
        <is>
          <t>09–15/11/2026</t>
        </is>
      </c>
      <c r="C30" s="2" t="inlineStr">
        <is>
          <t>QA, bảo mật, tài liệu, demo &amp; release</t>
        </is>
      </c>
      <c r="D30" s="2" t="inlineStr">
        <is>
          <t>Test report, ERD/SRS, video/script demo, release</t>
        </is>
      </c>
      <c r="E30" s="2" t="inlineStr">
        <is>
          <t>Không còn lỗi P1, 2 users phân quyền đúng</t>
        </is>
      </c>
    </row>
    <row r="33" ht="27" customHeight="1" s="16">
      <c r="A33" s="19" t="inlineStr">
        <is>
          <t>NHỮNG ĐIỂM ĐÃ XÁC NHẬN TỪ REPOSITORY</t>
        </is>
      </c>
    </row>
    <row r="34" ht="44.1" customHeight="1" s="16">
      <c r="A34" s="14" t="inlineStr">
        <is>
          <t>Backend có kiểm thử FR03–FR06 (ledger, FX, budget, recurring); UI nhiều chức năng vẫn lấy dữ liệu fixtures. Đây là baseline, KHÔNG phải khẳng định toàn bộ app đã hoàn thiện.</t>
        </is>
      </c>
    </row>
    <row r="35" ht="36" customHeight="1" s="16">
      <c r="A35" s="15" t="inlineStr">
        <is>
          <t>Môi trường SE: PHP local 8080 + MySQL riêng 3307 (C:\xampp\se-instance); tránh tác động dự án LTW dùng MySQL 3306.</t>
        </is>
      </c>
    </row>
    <row r="37">
      <c r="A37" t="inlineStr">
        <is>
          <t>Repo:</t>
        </is>
      </c>
      <c r="B37" t="inlineStr">
        <is>
          <t>https://github.com/huytothevoz/SE---Microfinance-Personal-Wealth-Expense-Tracker</t>
        </is>
      </c>
    </row>
    <row r="38">
      <c r="A38" t="inlineStr">
        <is>
          <t>Nguồn:</t>
        </is>
      </c>
      <c r="B38" t="inlineStr">
        <is>
          <t>https://github.com/huytothevoz/SE---Microfinance-Personal-Wealth-Expense-Tracker/blob/main/README.md</t>
        </is>
      </c>
    </row>
  </sheetData>
  <mergeCells count="22">
    <mergeCell ref="A17:G17"/>
    <mergeCell ref="A25:L25"/>
    <mergeCell ref="A8:G8"/>
    <mergeCell ref="A5:B6"/>
    <mergeCell ref="G5:H6"/>
    <mergeCell ref="I5:J6"/>
    <mergeCell ref="C4:D4"/>
    <mergeCell ref="A2:L2"/>
    <mergeCell ref="E4:F4"/>
    <mergeCell ref="A33:L33"/>
    <mergeCell ref="A35:L35"/>
    <mergeCell ref="B38:L38"/>
    <mergeCell ref="B37:L37"/>
    <mergeCell ref="C5:D6"/>
    <mergeCell ref="E5:F6"/>
    <mergeCell ref="K5:L6"/>
    <mergeCell ref="A34:L34"/>
    <mergeCell ref="A4:B4"/>
    <mergeCell ref="G4:H4"/>
    <mergeCell ref="I4:J4"/>
    <mergeCell ref="A1:L1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36" customWidth="1" style="16" min="2" max="2"/>
    <col width="24" customWidth="1" style="16" min="3" max="3"/>
    <col width="28" customWidth="1" style="16" min="4" max="4"/>
    <col width="40" customWidth="1" style="16" min="5" max="5"/>
    <col width="34" customWidth="1" style="16" min="6" max="6"/>
    <col width="14" customWidth="1" style="16" min="7" max="7"/>
    <col width="13" customWidth="1" style="16" min="8" max="8"/>
  </cols>
  <sheetData>
    <row r="1" ht="39" customHeight="1" s="16">
      <c r="A1" s="12" t="inlineStr">
        <is>
          <t>WEALTHFLOW  |  VAI TRÒ, CAM KẾT &amp; RACI</t>
        </is>
      </c>
    </row>
    <row r="2" ht="29.1" customHeight="1" s="16">
      <c r="A2" s="13" t="inlineStr">
        <is>
          <t>R=Thực hiện; A=chịu trách nhiệm cuối cùng; C=tham vấn; I=được thông báo. Một hạng mục nên có một người Accountable.</t>
        </is>
      </c>
    </row>
    <row r="4" ht="27" customHeight="1" s="16">
      <c r="A4" s="19" t="inlineStr">
        <is>
          <t>DANH SÁCH THÀNH VIÊN</t>
        </is>
      </c>
    </row>
    <row r="5" ht="32.1" customHeight="1" s="16">
      <c r="A5" s="1" t="inlineStr">
        <is>
          <t>STT</t>
        </is>
      </c>
      <c r="B5" s="1" t="inlineStr">
        <is>
          <t>Họ tên</t>
        </is>
      </c>
      <c r="C5" s="1" t="inlineStr">
        <is>
          <t>Vai trò</t>
        </is>
      </c>
      <c r="D5" s="1" t="inlineStr">
        <is>
          <t>Mảng chịu trách nhiệm</t>
        </is>
      </c>
      <c r="E5" s="1" t="inlineStr">
        <is>
          <t>Nguyên tắc bàn giao</t>
        </is>
      </c>
      <c r="F5" s="1" t="inlineStr">
        <is>
          <t>Số task</t>
        </is>
      </c>
    </row>
    <row r="6" ht="69.95" customHeight="1" s="16">
      <c r="A6" s="2" t="n">
        <v>1</v>
      </c>
      <c r="B6" s="2" t="inlineStr">
        <is>
          <t>Võ Trịnh Quốc Huy</t>
        </is>
      </c>
      <c r="C6" s="2" t="inlineStr">
        <is>
          <t>Team Leader / Fullstack</t>
        </is>
      </c>
      <c r="D6" s="2" t="inlineStr">
        <is>
          <t>Auth, kiến trúc, tích hợp, bảo mật, dashboard, merge &amp; release</t>
        </is>
      </c>
      <c r="E6" s="2" t="inlineStr">
        <is>
          <t>Giữ quyền review/merge main; review PHP/JS/SQL liên module</t>
        </is>
      </c>
      <c r="F6" s="2" t="inlineStr">
        <is>
          <t>14</t>
        </is>
      </c>
    </row>
    <row r="7" ht="69.95" customHeight="1" s="16">
      <c r="A7" s="2" t="n">
        <v>2</v>
      </c>
      <c r="B7" s="2" t="inlineStr">
        <is>
          <t>Võ Văn Khôi Nguyên</t>
        </is>
      </c>
      <c r="C7" s="2" t="inlineStr">
        <is>
          <t>Developer / Core Finance</t>
        </is>
      </c>
      <c r="D7" s="2" t="inlineStr">
        <is>
          <t>Wallets, categories, ledger UI/API, transfer, recurring, export, reconciliation</t>
        </is>
      </c>
      <c r="E7" s="2" t="inlineStr">
        <is>
          <t>Sở hữu nghiệp vụ FR03/FR04/FR06 và phần lớn file giao dịch</t>
        </is>
      </c>
      <c r="F7" s="2" t="inlineStr">
        <is>
          <t>14</t>
        </is>
      </c>
    </row>
    <row r="8" ht="69.95" customHeight="1" s="16">
      <c r="A8" s="2" t="n">
        <v>3</v>
      </c>
      <c r="B8" s="2" t="inlineStr">
        <is>
          <t>Phạm Nguyễn Tuấn Kiệt</t>
        </is>
      </c>
      <c r="C8" s="2" t="inlineStr">
        <is>
          <t>Developer / Financial Planning</t>
        </is>
      </c>
      <c r="D8" s="2" t="inlineStr">
        <is>
          <t>Budget, notifications, savings, loans, gold, net worth, reporting</t>
        </is>
      </c>
      <c r="E8" s="2" t="inlineStr">
        <is>
          <t>Sở hữu nghiệp vụ FR05 và mở rộng tài sản / vay</t>
        </is>
      </c>
      <c r="F8" s="2" t="inlineStr">
        <is>
          <t>13</t>
        </is>
      </c>
    </row>
    <row r="9" ht="69.95" customHeight="1" s="16">
      <c r="A9" s="2" t="n">
        <v>4</v>
      </c>
      <c r="B9" s="2" t="inlineStr">
        <is>
          <t>Nguyễn Thành Trung</t>
        </is>
      </c>
      <c r="C9" s="2" t="inlineStr">
        <is>
          <t>Database &amp; Documentation</t>
        </is>
      </c>
      <c r="D9" s="2" t="inlineStr">
        <is>
          <t>Schema/ERD, migrations, SQL seed, backup, DB tests, SRS/UML, báo cáo</t>
        </is>
      </c>
      <c r="E9" s="2" t="inlineStr">
        <is>
          <t>Không nhận lập trình nghiệp vụ web chính; SQL và tài liệu là trách nhiệm chủ đạo</t>
        </is>
      </c>
      <c r="F9" s="2" t="inlineStr">
        <is>
          <t>13</t>
        </is>
      </c>
    </row>
    <row r="12" ht="27" customHeight="1" s="16">
      <c r="A12" s="19" t="inlineStr">
        <is>
          <t>MA TRẬN TRÁCH NHIỆM</t>
        </is>
      </c>
    </row>
    <row r="13" ht="32.1" customHeight="1" s="16">
      <c r="A13" s="1" t="inlineStr">
        <is>
          <t>STT</t>
        </is>
      </c>
      <c r="B13" s="1" t="inlineStr">
        <is>
          <t>Hạng mục</t>
        </is>
      </c>
      <c r="C13" s="1" t="inlineStr">
        <is>
          <t>Huy – Leader</t>
        </is>
      </c>
      <c r="D13" s="1" t="inlineStr">
        <is>
          <t>Khôi Nguyên</t>
        </is>
      </c>
      <c r="E13" s="1" t="inlineStr">
        <is>
          <t>Tuấn Kiệt</t>
        </is>
      </c>
      <c r="F13" s="1" t="inlineStr">
        <is>
          <t>Thành Trung</t>
        </is>
      </c>
    </row>
    <row r="14" ht="42" customHeight="1" s="16">
      <c r="A14" s="2" t="n">
        <v>1</v>
      </c>
      <c r="B14" s="2" t="inlineStr">
        <is>
          <t>Chốt kiến trúc &amp; quy chuẩn Git</t>
        </is>
      </c>
      <c r="C14" s="9" t="inlineStr">
        <is>
          <t>A/R</t>
        </is>
      </c>
      <c r="D14" s="9" t="inlineStr">
        <is>
          <t>C</t>
        </is>
      </c>
      <c r="E14" s="9" t="inlineStr">
        <is>
          <t>C</t>
        </is>
      </c>
      <c r="F14" s="9" t="inlineStr">
        <is>
          <t>C</t>
        </is>
      </c>
    </row>
    <row r="15" ht="42" customHeight="1" s="16">
      <c r="A15" s="2" t="n">
        <v>2</v>
      </c>
      <c r="B15" s="2" t="inlineStr">
        <is>
          <t>Bảo mật/OTP/Session, Admin</t>
        </is>
      </c>
      <c r="C15" s="9" t="inlineStr">
        <is>
          <t>A/R</t>
        </is>
      </c>
      <c r="D15" s="9" t="inlineStr">
        <is>
          <t>I</t>
        </is>
      </c>
      <c r="E15" s="9" t="inlineStr">
        <is>
          <t>C</t>
        </is>
      </c>
      <c r="F15" s="9" t="inlineStr">
        <is>
          <t>C</t>
        </is>
      </c>
    </row>
    <row r="16" ht="42" customHeight="1" s="16">
      <c r="A16" s="2" t="n">
        <v>3</v>
      </c>
      <c r="B16" s="2" t="inlineStr">
        <is>
          <t>Ví, danh mục, ledger, chuyển ví</t>
        </is>
      </c>
      <c r="C16" s="9" t="inlineStr">
        <is>
          <t>A</t>
        </is>
      </c>
      <c r="D16" s="9" t="inlineStr">
        <is>
          <t>R</t>
        </is>
      </c>
      <c r="E16" s="9" t="inlineStr">
        <is>
          <t>C</t>
        </is>
      </c>
      <c r="F16" s="9" t="inlineStr">
        <is>
          <t>C</t>
        </is>
      </c>
    </row>
    <row r="17" ht="42" customHeight="1" s="16">
      <c r="A17" s="2" t="n">
        <v>4</v>
      </c>
      <c r="B17" s="2" t="inlineStr">
        <is>
          <t>Giao dịch định kỳ, FX, đối soát</t>
        </is>
      </c>
      <c r="C17" s="9" t="inlineStr">
        <is>
          <t>A</t>
        </is>
      </c>
      <c r="D17" s="9" t="inlineStr">
        <is>
          <t>R</t>
        </is>
      </c>
      <c r="E17" s="9" t="inlineStr">
        <is>
          <t>C</t>
        </is>
      </c>
      <c r="F17" s="9" t="inlineStr">
        <is>
          <t>C</t>
        </is>
      </c>
    </row>
    <row r="18" ht="42" customHeight="1" s="16">
      <c r="A18" s="2" t="n">
        <v>5</v>
      </c>
      <c r="B18" s="2" t="inlineStr">
        <is>
          <t>Ngân sách &amp; thông báo</t>
        </is>
      </c>
      <c r="C18" s="9" t="inlineStr">
        <is>
          <t>A</t>
        </is>
      </c>
      <c r="D18" s="9" t="inlineStr">
        <is>
          <t>C</t>
        </is>
      </c>
      <c r="E18" s="9" t="inlineStr">
        <is>
          <t>R</t>
        </is>
      </c>
      <c r="F18" s="9" t="inlineStr">
        <is>
          <t>C</t>
        </is>
      </c>
    </row>
    <row r="19" ht="42" customHeight="1" s="16">
      <c r="A19" s="2" t="n">
        <v>6</v>
      </c>
      <c r="B19" s="2" t="inlineStr">
        <is>
          <t>Mục tiêu tiết kiệm</t>
        </is>
      </c>
      <c r="C19" s="9" t="inlineStr">
        <is>
          <t>A</t>
        </is>
      </c>
      <c r="D19" s="9" t="inlineStr">
        <is>
          <t>C</t>
        </is>
      </c>
      <c r="E19" s="9" t="inlineStr">
        <is>
          <t>R</t>
        </is>
      </c>
      <c r="F19" s="9" t="inlineStr">
        <is>
          <t>C</t>
        </is>
      </c>
    </row>
    <row r="20" ht="42" customHeight="1" s="16">
      <c r="A20" s="2" t="n">
        <v>7</v>
      </c>
      <c r="B20" s="2" t="inlineStr">
        <is>
          <t>Khoản vay và lịch trả</t>
        </is>
      </c>
      <c r="C20" s="9" t="inlineStr">
        <is>
          <t>A</t>
        </is>
      </c>
      <c r="D20" s="9" t="inlineStr">
        <is>
          <t>C</t>
        </is>
      </c>
      <c r="E20" s="9" t="inlineStr">
        <is>
          <t>R</t>
        </is>
      </c>
      <c r="F20" s="9" t="inlineStr">
        <is>
          <t>C</t>
        </is>
      </c>
    </row>
    <row r="21" ht="42" customHeight="1" s="16">
      <c r="A21" s="2" t="n">
        <v>8</v>
      </c>
      <c r="B21" s="2" t="inlineStr">
        <is>
          <t>Tài sản vàng &amp; Net Worth</t>
        </is>
      </c>
      <c r="C21" s="9" t="inlineStr">
        <is>
          <t>A</t>
        </is>
      </c>
      <c r="D21" s="9" t="inlineStr">
        <is>
          <t>C</t>
        </is>
      </c>
      <c r="E21" s="9" t="inlineStr">
        <is>
          <t>R</t>
        </is>
      </c>
      <c r="F21" s="9" t="inlineStr">
        <is>
          <t>C</t>
        </is>
      </c>
    </row>
    <row r="22" ht="42" customHeight="1" s="16">
      <c r="A22" s="2" t="n">
        <v>9</v>
      </c>
      <c r="B22" s="2" t="inlineStr">
        <is>
          <t>Dashboard tổng quan &amp; tích hợp API</t>
        </is>
      </c>
      <c r="C22" s="9" t="inlineStr">
        <is>
          <t>A/R</t>
        </is>
      </c>
      <c r="D22" s="9" t="inlineStr">
        <is>
          <t>C</t>
        </is>
      </c>
      <c r="E22" s="9" t="inlineStr">
        <is>
          <t>R</t>
        </is>
      </c>
      <c r="F22" s="9" t="inlineStr">
        <is>
          <t>C</t>
        </is>
      </c>
    </row>
    <row r="23" ht="42" customHeight="1" s="16">
      <c r="A23" s="2" t="n">
        <v>10</v>
      </c>
      <c r="B23" s="2" t="inlineStr">
        <is>
          <t>Thiết kế ERD, database migration, index</t>
        </is>
      </c>
      <c r="C23" s="9" t="inlineStr">
        <is>
          <t>A</t>
        </is>
      </c>
      <c r="D23" s="9" t="inlineStr">
        <is>
          <t>C</t>
        </is>
      </c>
      <c r="E23" s="9" t="inlineStr">
        <is>
          <t>C</t>
        </is>
      </c>
      <c r="F23" s="9" t="inlineStr">
        <is>
          <t>R</t>
        </is>
      </c>
    </row>
    <row r="24" ht="42" customHeight="1" s="16">
      <c r="A24" s="2" t="n">
        <v>11</v>
      </c>
      <c r="B24" s="2" t="inlineStr">
        <is>
          <t>Data dictionary, SQL seed, backup/restore</t>
        </is>
      </c>
      <c r="C24" s="9" t="inlineStr">
        <is>
          <t>A</t>
        </is>
      </c>
      <c r="D24" s="9" t="inlineStr">
        <is>
          <t>C</t>
        </is>
      </c>
      <c r="E24" s="9" t="inlineStr">
        <is>
          <t>C</t>
        </is>
      </c>
      <c r="F24" s="9" t="inlineStr">
        <is>
          <t>R</t>
        </is>
      </c>
    </row>
    <row r="25" ht="42" customHeight="1" s="16">
      <c r="A25" s="2" t="n">
        <v>12</v>
      </c>
      <c r="B25" s="2" t="inlineStr">
        <is>
          <t>Kiểm thử từng module và test case</t>
        </is>
      </c>
      <c r="C25" s="9" t="inlineStr">
        <is>
          <t>A</t>
        </is>
      </c>
      <c r="D25" s="9" t="inlineStr">
        <is>
          <t>R</t>
        </is>
      </c>
      <c r="E25" s="9" t="inlineStr">
        <is>
          <t>R</t>
        </is>
      </c>
      <c r="F25" s="9" t="inlineStr">
        <is>
          <t>C</t>
        </is>
      </c>
    </row>
    <row r="26" ht="42" customHeight="1" s="16">
      <c r="A26" s="2" t="n">
        <v>13</v>
      </c>
      <c r="B26" s="2" t="inlineStr">
        <is>
          <t>SRS, UML, báo cáo, biên bản họp</t>
        </is>
      </c>
      <c r="C26" s="9" t="inlineStr">
        <is>
          <t>A</t>
        </is>
      </c>
      <c r="D26" s="9" t="inlineStr">
        <is>
          <t>C</t>
        </is>
      </c>
      <c r="E26" s="9" t="inlineStr">
        <is>
          <t>C</t>
        </is>
      </c>
      <c r="F26" s="9" t="inlineStr">
        <is>
          <t>R</t>
        </is>
      </c>
    </row>
    <row r="27" ht="42" customHeight="1" s="16">
      <c r="A27" s="2" t="n">
        <v>14</v>
      </c>
      <c r="B27" s="2" t="inlineStr">
        <is>
          <t>Code review, merge, release, demo cuối</t>
        </is>
      </c>
      <c r="C27" s="9" t="inlineStr">
        <is>
          <t>A/R</t>
        </is>
      </c>
      <c r="D27" s="9" t="inlineStr">
        <is>
          <t>C</t>
        </is>
      </c>
      <c r="E27" s="9" t="inlineStr">
        <is>
          <t>C</t>
        </is>
      </c>
      <c r="F27" s="9" t="inlineStr">
        <is>
          <t>R</t>
        </is>
      </c>
    </row>
    <row r="30" ht="27" customHeight="1" s="16">
      <c r="A30" s="19" t="inlineStr">
        <is>
          <t>QUY ĐỊNH RANH GIỚI PHẦN VIỆC</t>
        </is>
      </c>
    </row>
    <row r="31" ht="48" customHeight="1" s="16">
      <c r="A31" s="10" t="inlineStr">
        <is>
          <t>Một task = một owner</t>
        </is>
      </c>
      <c r="B31" s="2" t="inlineStr">
        <is>
          <t>Người được giao ở cột Owner chịu trách nhiệm tạo PR + test + cập nhật tiến độ, reviewer không tự nhận phần trăm.</t>
        </is>
      </c>
    </row>
    <row r="32" ht="48" customHeight="1" s="16">
      <c r="A32" s="10" t="inlineStr">
        <is>
          <t>Trung phụ trách Database</t>
        </is>
      </c>
      <c r="B32" s="2" t="inlineStr">
        <is>
          <t>Trung viết/kiểm thử SQL, migration, data dictionary, ERD và hỗ trợ SRS; dev PHP kết nối theo contract, tránh 3 người tự sửa schema.</t>
        </is>
      </c>
    </row>
    <row r="33" ht="48" customHeight="1" s="16">
      <c r="A33" s="10" t="inlineStr">
        <is>
          <t>Không sửa chồng file chung</t>
        </is>
      </c>
      <c r="B33" s="2" t="inlineStr">
        <is>
          <t>pages.js và main.js cần phân tách module hoặc chia nhánh với thứ tự merge do Huy thống nhất; mỗi PR nhỏ để tránh conflict.</t>
        </is>
      </c>
    </row>
    <row r="34" ht="48" customHeight="1" s="16">
      <c r="A34" s="10" t="inlineStr">
        <is>
          <t>Review PHP / SQL</t>
        </is>
      </c>
      <c r="B34" s="2" t="inlineStr">
        <is>
          <t>Huy review code logic; Trung review migration và ERD; dev liên quan kiểm tra API có đúng contract.</t>
        </is>
      </c>
    </row>
    <row r="35" ht="48" customHeight="1" s="16">
      <c r="A35" s="10" t="inlineStr">
        <is>
          <t>Không tự nhận task Done</t>
        </is>
      </c>
      <c r="B35" s="2" t="inlineStr">
        <is>
          <t>Phải có link PR/commit, kiểm thử local thực tế trên MySQL 3307, ảnh hoặc testcase và đã merge.</t>
        </is>
      </c>
    </row>
  </sheetData>
  <mergeCells count="5">
    <mergeCell ref="A12:H12"/>
    <mergeCell ref="A4:H4"/>
    <mergeCell ref="A30:H30"/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26" customWidth="1" style="16" min="2" max="2"/>
    <col width="43" customWidth="1" style="16" min="3" max="3"/>
    <col width="35" customWidth="1" style="16" min="4" max="5"/>
    <col width="83" customWidth="1" style="16" min="6" max="6"/>
    <col width="28" customWidth="1" style="16" min="7" max="7"/>
    <col width="42" customWidth="1" style="16" min="8" max="8"/>
    <col width="13" customWidth="1" style="16" min="9" max="9"/>
  </cols>
  <sheetData>
    <row r="1" ht="39" customHeight="1" s="16">
      <c r="A1" s="12" t="inlineStr">
        <is>
          <t>WEALTHFLOW  |  ĐẶC TẢ CHỨC NĂNG (SRS RÚT GỌN)</t>
        </is>
      </c>
    </row>
    <row r="2" ht="29.1" customHeight="1" s="16">
      <c r="A2" s="13" t="inlineStr">
        <is>
          <t>Phân biệt mức độ hiện có trong Git với trạng thái đã kiểm thử. Không xem giao diện mock là tính năng E2E.</t>
        </is>
      </c>
    </row>
    <row r="3" ht="32.1" customHeight="1" s="16">
      <c r="A3" s="1" t="inlineStr">
        <is>
          <t>Mã</t>
        </is>
      </c>
      <c r="B3" s="1" t="inlineStr">
        <is>
          <t>Module</t>
        </is>
      </c>
      <c r="C3" s="1" t="inlineStr">
        <is>
          <t>Mô tả phạm vi</t>
        </is>
      </c>
      <c r="D3" s="1" t="inlineStr">
        <is>
          <t>Input chính</t>
        </is>
      </c>
      <c r="E3" s="1" t="inlineStr">
        <is>
          <t>Output/giá trị</t>
        </is>
      </c>
      <c r="F3" s="1" t="inlineStr">
        <is>
          <t>Quy tắc nghiệp vụ / Acceptance criteria</t>
        </is>
      </c>
      <c r="G3" s="1" t="inlineStr">
        <is>
          <t>Code owner</t>
        </is>
      </c>
      <c r="H3" s="1" t="inlineStr">
        <is>
          <t>Trạng thái khảo sát Git</t>
        </is>
      </c>
      <c r="I3" s="1" t="inlineStr">
        <is>
          <t>Ưu tiên</t>
        </is>
      </c>
    </row>
    <row r="4" ht="74.09999999999999" customHeight="1" s="16">
      <c r="A4" s="2" t="inlineStr">
        <is>
          <t>FR01</t>
        </is>
      </c>
      <c r="B4" s="2" t="inlineStr">
        <is>
          <t>Đăng ký/đăng nhập/OTP</t>
        </is>
      </c>
      <c r="C4" s="2" t="inlineStr">
        <is>
          <t>Tạo user, login, session, reset bằng OTP</t>
        </is>
      </c>
      <c r="D4" s="2" t="inlineStr">
        <is>
          <t>Email, password, fullName, OTP</t>
        </is>
      </c>
      <c r="E4" s="2" t="inlineStr">
        <is>
          <t>Phiên hợp lệ, đổi mật khẩu, bảo vệ tuyến</t>
        </is>
      </c>
      <c r="F4" s="2" t="inlineStr">
        <is>
          <t>Không trùng email; OTP 10 phút/5 lần theo README; không log secrets</t>
        </is>
      </c>
      <c r="G4" s="2" t="inlineStr">
        <is>
          <t>Võ Trịnh Quốc Huy</t>
        </is>
      </c>
      <c r="H4" s="2" t="inlineStr">
        <is>
          <t>README nêu quy trình; chưa chạy local</t>
        </is>
      </c>
      <c r="I4" s="2" t="inlineStr">
        <is>
          <t>P1</t>
        </is>
      </c>
    </row>
    <row r="5" ht="74.09999999999999" customHeight="1" s="16">
      <c r="A5" s="11" t="inlineStr">
        <is>
          <t>FR02</t>
        </is>
      </c>
      <c r="B5" s="11" t="inlineStr">
        <is>
          <t>Hồ sơ cá nhân</t>
        </is>
      </c>
      <c r="C5" s="11" t="inlineStr">
        <is>
          <t>Xem và cập nhật tên, ngôn ngữ, tiền cơ sở, theme</t>
        </is>
      </c>
      <c r="D5" s="11" t="inlineStr">
        <is>
          <t>Profile settings</t>
        </is>
      </c>
      <c r="E5" s="11" t="inlineStr">
        <is>
          <t>Persist cài đặt theo user</t>
        </is>
      </c>
      <c r="F5" s="11" t="inlineStr">
        <is>
          <t>Validate, riêng tư; đổi base currency cần có chính sách</t>
        </is>
      </c>
      <c r="G5" s="11" t="inlineStr">
        <is>
          <t>Võ Trịnh Quốc Huy</t>
        </is>
      </c>
      <c r="H5" s="11" t="inlineStr">
        <is>
          <t>Có UI settings, cần test API</t>
        </is>
      </c>
      <c r="I5" s="11" t="inlineStr">
        <is>
          <t>P2</t>
        </is>
      </c>
    </row>
    <row r="6" ht="74.09999999999999" customHeight="1" s="16">
      <c r="A6" s="2" t="inlineStr">
        <is>
          <t>FR03</t>
        </is>
      </c>
      <c r="B6" s="2" t="inlineStr">
        <is>
          <t>Thu chi &amp; sổ cái</t>
        </is>
      </c>
      <c r="C6" s="2" t="inlineStr">
        <is>
          <t>Thu/chi, transfer, draft, reversal, idempotency</t>
        </is>
      </c>
      <c r="D6" s="2" t="inlineStr">
        <is>
          <t>wallet/category/amount/date/currency</t>
        </is>
      </c>
      <c r="E6" s="2" t="inlineStr">
        <is>
          <t>2 bút toán cân; số dư cập nhật</t>
        </is>
      </c>
      <c r="F6" s="2" t="inlineStr">
        <is>
          <t>Posted không xóa; debit=credit; không chuyển cùng ví</t>
        </is>
      </c>
      <c r="G6" s="2" t="inlineStr">
        <is>
          <t>Võ Văn Khôi Nguyên</t>
        </is>
      </c>
      <c r="H6" s="2" t="inlineStr">
        <is>
          <t>Có backend test; UI dùng fixtures</t>
        </is>
      </c>
      <c r="I6" s="2" t="inlineStr">
        <is>
          <t>P1</t>
        </is>
      </c>
    </row>
    <row r="7" ht="74.09999999999999" customHeight="1" s="16">
      <c r="A7" s="11" t="inlineStr">
        <is>
          <t>FR04</t>
        </is>
      </c>
      <c r="B7" s="11" t="inlineStr">
        <is>
          <t>Đa tiền tệ</t>
        </is>
      </c>
      <c r="C7" s="11" t="inlineStr">
        <is>
          <t>Ghi nhận giao dịch ngoại tệ snapshot FX</t>
        </is>
      </c>
      <c r="D7" s="11" t="inlineStr">
        <is>
          <t>Currency, FX rate</t>
        </is>
      </c>
      <c r="E7" s="11" t="inlineStr">
        <is>
          <t>Amount base nhất quán</t>
        </is>
      </c>
      <c r="F7" s="11" t="inlineStr">
        <is>
          <t>Giữ tỷ giá theo thời điểm ghi sổ; không dựa vào FX live không nguồn</t>
        </is>
      </c>
      <c r="G7" s="11" t="inlineStr">
        <is>
          <t>Võ Văn Khôi Nguyên</t>
        </is>
      </c>
      <c r="H7" s="11" t="inlineStr">
        <is>
          <t>Có backend test FR04</t>
        </is>
      </c>
      <c r="I7" s="11" t="inlineStr">
        <is>
          <t>P2</t>
        </is>
      </c>
    </row>
    <row r="8" ht="74.09999999999999" customHeight="1" s="16">
      <c r="A8" s="2" t="inlineStr">
        <is>
          <t>FR05</t>
        </is>
      </c>
      <c r="B8" s="2" t="inlineStr">
        <is>
          <t>Ngân sách</t>
        </is>
      </c>
      <c r="C8" s="2" t="inlineStr">
        <is>
          <t>Hạn mức theo danh mục/kỳ và cảnh báo</t>
        </is>
      </c>
      <c r="D8" s="2" t="inlineStr">
        <is>
          <t>Month, category, limit</t>
        </is>
      </c>
      <c r="E8" s="2" t="inlineStr">
        <is>
          <t>Tỷ lệ đã dùng, thông báo ngưỡng</t>
        </is>
      </c>
      <c r="F8" s="2" t="inlineStr">
        <is>
          <t>Chi tiêu ròng; 80% vàng, 100% đỏ, không lặp cảnh báo</t>
        </is>
      </c>
      <c r="G8" s="2" t="inlineStr">
        <is>
          <t>Phạm Nguyễn Tuấn Kiệt</t>
        </is>
      </c>
      <c r="H8" s="2" t="inlineStr">
        <is>
          <t>Backend test FR05; UI demo</t>
        </is>
      </c>
      <c r="I8" s="2" t="inlineStr">
        <is>
          <t>P1</t>
        </is>
      </c>
    </row>
    <row r="9" ht="74.09999999999999" customHeight="1" s="16">
      <c r="A9" s="11" t="inlineStr">
        <is>
          <t>FR06</t>
        </is>
      </c>
      <c r="B9" s="11" t="inlineStr">
        <is>
          <t>Định kỳ</t>
        </is>
      </c>
      <c r="C9" s="11" t="inlineStr">
        <is>
          <t>Lịch tạo draft/tự ghi sổ</t>
        </is>
      </c>
      <c r="D9" s="11" t="inlineStr">
        <is>
          <t>DayOfMonth, amount, mode, wallet</t>
        </is>
      </c>
      <c r="E9" s="11" t="inlineStr">
        <is>
          <t>Tạo một kỳ duy nhất và next due</t>
        </is>
      </c>
      <c r="F9" s="11" t="inlineStr">
        <is>
          <t>Ngày 31 kẹp cuối tháng; idempotent mỗi kỳ</t>
        </is>
      </c>
      <c r="G9" s="11" t="inlineStr">
        <is>
          <t>Võ Văn Khôi Nguyên</t>
        </is>
      </c>
      <c r="H9" s="11" t="inlineStr">
        <is>
          <t>Backend test FR06; UI demo</t>
        </is>
      </c>
      <c r="I9" s="11" t="inlineStr">
        <is>
          <t>P1</t>
        </is>
      </c>
    </row>
    <row r="10" ht="74.09999999999999" customHeight="1" s="16">
      <c r="A10" s="2" t="inlineStr">
        <is>
          <t>FR07</t>
        </is>
      </c>
      <c r="B10" s="2" t="inlineStr">
        <is>
          <t>Ví</t>
        </is>
      </c>
      <c r="C10" s="2" t="inlineStr">
        <is>
          <t>Tạo/sửa/lưu trữ ví nhiều loại</t>
        </is>
      </c>
      <c r="D10" s="2" t="inlineStr">
        <is>
          <t>Name, currency, opening balance</t>
        </is>
      </c>
      <c r="E10" s="2" t="inlineStr">
        <is>
          <t>Wallet list và balance từ DB</t>
        </is>
      </c>
      <c r="F10" s="2" t="inlineStr">
        <is>
          <t>Không lưu trữ khi còn dư nợ liên quan / định kỳ đang dùng</t>
        </is>
      </c>
      <c r="G10" s="2" t="inlineStr">
        <is>
          <t>Võ Văn Khôi Nguyên</t>
        </is>
      </c>
      <c r="H10" s="2" t="inlineStr">
        <is>
          <t>UI mock, repository có trong test</t>
        </is>
      </c>
      <c r="I10" s="2" t="inlineStr">
        <is>
          <t>P1</t>
        </is>
      </c>
    </row>
    <row r="11" ht="74.09999999999999" customHeight="1" s="16">
      <c r="A11" s="11" t="inlineStr">
        <is>
          <t>FR08</t>
        </is>
      </c>
      <c r="B11" s="11" t="inlineStr">
        <is>
          <t>Danh mục</t>
        </is>
      </c>
      <c r="C11" s="11" t="inlineStr">
        <is>
          <t>Danh mục người dùng và danh mục mẫu</t>
        </is>
      </c>
      <c r="D11" s="11" t="inlineStr">
        <is>
          <t>Type,name,isActive</t>
        </is>
      </c>
      <c r="E11" s="11" t="inlineStr">
        <is>
          <t>Dùng chung filter/budget</t>
        </is>
      </c>
      <c r="F11" s="11" t="inlineStr">
        <is>
          <t>Không xóa vật lý danh mục có ledger</t>
        </is>
      </c>
      <c r="G11" s="11" t="inlineStr">
        <is>
          <t>Võ Văn Khôi Nguyên</t>
        </is>
      </c>
      <c r="H11" s="11" t="inlineStr">
        <is>
          <t>Có UI mock</t>
        </is>
      </c>
      <c r="I11" s="11" t="inlineStr">
        <is>
          <t>P1</t>
        </is>
      </c>
    </row>
    <row r="12" ht="74.09999999999999" customHeight="1" s="16">
      <c r="A12" s="2" t="inlineStr">
        <is>
          <t>FR09</t>
        </is>
      </c>
      <c r="B12" s="2" t="inlineStr">
        <is>
          <t>Mục tiêu tiết kiệm</t>
        </is>
      </c>
      <c r="C12" s="2" t="inlineStr">
        <is>
          <t>Tạo mục tiêu và phân bổ tiền</t>
        </is>
      </c>
      <c r="D12" s="2" t="inlineStr">
        <is>
          <t>Target, date, allocations</t>
        </is>
      </c>
      <c r="E12" s="2" t="inlineStr">
        <is>
          <t>Tiến độ tích lũy và lịch sử</t>
        </is>
      </c>
      <c r="F12" s="2" t="inlineStr">
        <is>
          <t>Earmark không làm tăng tổng tài sản</t>
        </is>
      </c>
      <c r="G12" s="2" t="inlineStr">
        <is>
          <t>Phạm Nguyễn Tuấn Kiệt</t>
        </is>
      </c>
      <c r="H12" s="2" t="inlineStr">
        <is>
          <t>UI mock, chưa xác nhận API</t>
        </is>
      </c>
      <c r="I12" s="2" t="inlineStr">
        <is>
          <t>P1</t>
        </is>
      </c>
    </row>
    <row r="13" ht="74.09999999999999" customHeight="1" s="16">
      <c r="A13" s="11" t="inlineStr">
        <is>
          <t>FR10</t>
        </is>
      </c>
      <c r="B13" s="11" t="inlineStr">
        <is>
          <t>Vay/cho vay</t>
        </is>
      </c>
      <c r="C13" s="11" t="inlineStr">
        <is>
          <t>Quản lý dư gốc, trả góp, lãi/phí</t>
        </is>
      </c>
      <c r="D13" s="11" t="inlineStr">
        <is>
          <t>Kind, principal, terms, payments</t>
        </is>
      </c>
      <c r="E13" s="11" t="inlineStr">
        <is>
          <t>Dư nợ và lịch sử, nhắc tới hạn</t>
        </is>
      </c>
      <c r="F13" s="11" t="inlineStr">
        <is>
          <t>Đi vay không phải thu nhập; gốc không là expense</t>
        </is>
      </c>
      <c r="G13" s="11" t="inlineStr">
        <is>
          <t>Phạm Nguyễn Tuấn Kiệt</t>
        </is>
      </c>
      <c r="H13" s="11" t="inlineStr">
        <is>
          <t>UI mock, chưa xác nhận API</t>
        </is>
      </c>
      <c r="I13" s="11" t="inlineStr">
        <is>
          <t>P1</t>
        </is>
      </c>
    </row>
    <row r="14" ht="74.09999999999999" customHeight="1" s="16">
      <c r="A14" s="2" t="inlineStr">
        <is>
          <t>FR11</t>
        </is>
      </c>
      <c r="B14" s="2" t="inlineStr">
        <is>
          <t>Tài sản vàng</t>
        </is>
      </c>
      <c r="C14" s="2" t="inlineStr">
        <is>
          <t>Quản lý số lượng, định giá, lịch sử</t>
        </is>
      </c>
      <c r="D14" s="2" t="inlineStr">
        <is>
          <t>Asset lot, quantity, unit, valuation</t>
        </is>
      </c>
      <c r="E14" s="2" t="inlineStr">
        <is>
          <t>Giá trị tài sản ngoài ví</t>
        </is>
      </c>
      <c r="F14" s="2" t="inlineStr">
        <is>
          <t>Ngày định giá rõ; không mặc định giá fixture là giá thật</t>
        </is>
      </c>
      <c r="G14" s="2" t="inlineStr">
        <is>
          <t>Phạm Nguyễn Tuấn Kiệt</t>
        </is>
      </c>
      <c r="H14" s="2" t="inlineStr">
        <is>
          <t>UI mock, chưa xác nhận API</t>
        </is>
      </c>
      <c r="I14" s="2" t="inlineStr">
        <is>
          <t>P2</t>
        </is>
      </c>
    </row>
    <row r="15" ht="74.09999999999999" customHeight="1" s="16">
      <c r="A15" s="11" t="inlineStr">
        <is>
          <t>FR12</t>
        </is>
      </c>
      <c r="B15" s="11" t="inlineStr">
        <is>
          <t>Tài sản ròng</t>
        </is>
      </c>
      <c r="C15" s="11" t="inlineStr">
        <is>
          <t>Tổng hợp assets/liabilities theo kỳ</t>
        </is>
      </c>
      <c r="D15" s="11" t="inlineStr">
        <is>
          <t>Wallet, gold, savings, loans</t>
        </is>
      </c>
      <c r="E15" s="11" t="inlineStr">
        <is>
          <t>Net worth &amp; snapshot chart</t>
        </is>
      </c>
      <c r="F15" s="11" t="inlineStr">
        <is>
          <t>Tài sản ròng=tổng tài sản-tổng nợ; tránh double count</t>
        </is>
      </c>
      <c r="G15" s="11" t="inlineStr">
        <is>
          <t>Phạm Nguyễn Tuấn Kiệt</t>
        </is>
      </c>
      <c r="H15" s="11" t="inlineStr">
        <is>
          <t>KPI demo hardcoded</t>
        </is>
      </c>
      <c r="I15" s="11" t="inlineStr">
        <is>
          <t>P1</t>
        </is>
      </c>
    </row>
    <row r="16" ht="74.09999999999999" customHeight="1" s="16">
      <c r="A16" s="2" t="inlineStr">
        <is>
          <t>FR13</t>
        </is>
      </c>
      <c r="B16" s="2" t="inlineStr">
        <is>
          <t>Báo cáo thu–chi</t>
        </is>
      </c>
      <c r="C16" s="2" t="inlineStr">
        <is>
          <t>Báo cáo theo tháng/biểu đồ/saving rate</t>
        </is>
      </c>
      <c r="D16" s="2" t="inlineStr">
        <is>
          <t>Date range, ledger entries</t>
        </is>
      </c>
      <c r="E16" s="2" t="inlineStr">
        <is>
          <t>Dashboard và báo cáo đúng dữ liệu</t>
        </is>
      </c>
      <c r="F16" s="2" t="inlineStr">
        <is>
          <t>Income&lt;=0 → N/A; loại chuyển ví và gốc vay</t>
        </is>
      </c>
      <c r="G16" s="2" t="inlineStr">
        <is>
          <t>Phạm Nguyễn Tuấn Kiệt</t>
        </is>
      </c>
      <c r="H16" s="2" t="inlineStr">
        <is>
          <t>reportPage ghi rõ chưa lấy MySQL</t>
        </is>
      </c>
      <c r="I16" s="2" t="inlineStr">
        <is>
          <t>P1</t>
        </is>
      </c>
    </row>
    <row r="17" ht="74.09999999999999" customHeight="1" s="16">
      <c r="A17" s="11" t="inlineStr">
        <is>
          <t>FR14</t>
        </is>
      </c>
      <c r="B17" s="11" t="inlineStr">
        <is>
          <t>Thông báo</t>
        </is>
      </c>
      <c r="C17" s="11" t="inlineStr">
        <is>
          <t>Nhắc ngân sách/nợ/định kỳ</t>
        </is>
      </c>
      <c r="D17" s="11" t="inlineStr">
        <is>
          <t>Events, userId</t>
        </is>
      </c>
      <c r="E17" s="11" t="inlineStr">
        <is>
          <t>Notification inbox</t>
        </is>
      </c>
      <c r="F17" s="11" t="inlineStr">
        <is>
          <t>Không lộ của user khác; tránh nhắc trùng</t>
        </is>
      </c>
      <c r="G17" s="11" t="inlineStr">
        <is>
          <t>Phạm Nguyễn Tuấn Kiệt</t>
        </is>
      </c>
      <c r="H17" s="11" t="inlineStr">
        <is>
          <t>UI mock, NotificationService có trong test</t>
        </is>
      </c>
      <c r="I17" s="11" t="inlineStr">
        <is>
          <t>P2</t>
        </is>
      </c>
    </row>
    <row r="18" ht="74.09999999999999" customHeight="1" s="16">
      <c r="A18" s="2" t="inlineStr">
        <is>
          <t>FR15</t>
        </is>
      </c>
      <c r="B18" s="2" t="inlineStr">
        <is>
          <t>Admin</t>
        </is>
      </c>
      <c r="C18" s="2" t="inlineStr">
        <is>
          <t>Quản lý user, danh mục hệ thống, broadcast</t>
        </is>
      </c>
      <c r="D18" s="2" t="inlineStr">
        <is>
          <t>Role/admin actions</t>
        </is>
      </c>
      <c r="E18" s="2" t="inlineStr">
        <is>
          <t>Admin console &amp; audit</t>
        </is>
      </c>
      <c r="F18" s="2" t="inlineStr">
        <is>
          <t>Không truy cập giao dịch riêng của người dùng</t>
        </is>
      </c>
      <c r="G18" s="2" t="inlineStr">
        <is>
          <t>Võ Trịnh Quốc Huy</t>
        </is>
      </c>
      <c r="H18" s="2" t="inlineStr">
        <is>
          <t>Trang admin có fixture</t>
        </is>
      </c>
      <c r="I18" s="2" t="inlineStr">
        <is>
          <t>P2</t>
        </is>
      </c>
    </row>
    <row r="19" ht="74.09999999999999" customHeight="1" s="16">
      <c r="A19" s="11" t="inlineStr">
        <is>
          <t>FR16</t>
        </is>
      </c>
      <c r="B19" s="11" t="inlineStr">
        <is>
          <t>CSV và đối soát</t>
        </is>
      </c>
      <c r="C19" s="11" t="inlineStr">
        <is>
          <t>Xuất CSV theo user, so sánh ledger/cache</t>
        </is>
      </c>
      <c r="D19" s="11" t="inlineStr">
        <is>
          <t>Filter, userId</t>
        </is>
      </c>
      <c r="E19" s="11" t="inlineStr">
        <is>
          <t>CSV và bảng mismatch</t>
        </is>
      </c>
      <c r="F19" s="11" t="inlineStr">
        <is>
          <t>UTF-8 BOM, injection-safe; chỉ 'khớp' nếu server xác minh</t>
        </is>
      </c>
      <c r="G19" s="11" t="inlineStr">
        <is>
          <t>Võ Văn Khôi Nguyên</t>
        </is>
      </c>
      <c r="H19" s="11" t="inlineStr">
        <is>
          <t>UI hiện có trạng thái đối soát mô phỏng</t>
        </is>
      </c>
      <c r="I19" s="11" t="inlineStr">
        <is>
          <t>P1</t>
        </is>
      </c>
    </row>
    <row r="20" ht="74.09999999999999" customHeight="1" s="16">
      <c r="A20" s="2" t="inlineStr">
        <is>
          <t>NFR01</t>
        </is>
      </c>
      <c r="B20" s="2" t="inlineStr">
        <is>
          <t>Bảo mật dữ liệu</t>
        </is>
      </c>
      <c r="C20" s="2" t="inlineStr">
        <is>
          <t>Isolation/validation/session/secret hygiene</t>
        </is>
      </c>
      <c r="D20" s="2" t="inlineStr">
        <is>
          <t>User token/SQL input</t>
        </is>
      </c>
      <c r="E20" s="2" t="inlineStr">
        <is>
          <t>Không IDOR/XSS/SQLi cơ bản</t>
        </is>
      </c>
      <c r="F20" s="2" t="inlineStr">
        <is>
          <t>Không commit config.local.php/App Password; prepared statements</t>
        </is>
      </c>
      <c r="G20" s="2" t="inlineStr">
        <is>
          <t>Võ Trịnh Quốc Huy</t>
        </is>
      </c>
      <c r="H20" s="2" t="inlineStr">
        <is>
          <t>Yêu cầu hoàn thiện và kiểm chứng</t>
        </is>
      </c>
      <c r="I20" s="2" t="inlineStr">
        <is>
          <t>P1</t>
        </is>
      </c>
    </row>
    <row r="21" ht="74.09999999999999" customHeight="1" s="16">
      <c r="A21" s="11" t="inlineStr">
        <is>
          <t>NFR02</t>
        </is>
      </c>
      <c r="B21" s="11" t="inlineStr">
        <is>
          <t>Tính chạy độc lập</t>
        </is>
      </c>
      <c r="C21" s="11" t="inlineStr">
        <is>
          <t>Không ảnh hưởng đồ án LTW trên XAMPP</t>
        </is>
      </c>
      <c r="D21" s="11" t="inlineStr">
        <is>
          <t>SE 8080+3307, LTW 8000+3306</t>
        </is>
      </c>
      <c r="E21" s="11" t="inlineStr">
        <is>
          <t>Start/stop riêng SE an toàn</t>
        </is>
      </c>
      <c r="F21" s="11" t="inlineStr">
        <is>
          <t>Migration không DROP, không xóa htdocs/MySQL của LTW</t>
        </is>
      </c>
      <c r="G21" s="11" t="inlineStr">
        <is>
          <t>Võ Trịnh Quốc Huy</t>
        </is>
      </c>
      <c r="H21" s="11" t="inlineStr">
        <is>
          <t>Runner có trong README/HUONG_DAN</t>
        </is>
      </c>
      <c r="I21" s="11" t="inlineStr">
        <is>
          <t>P1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style="16" min="1" max="1"/>
    <col width="40" customWidth="1" style="16" min="2" max="2"/>
    <col width="64" customWidth="1" style="16" min="3" max="3"/>
    <col width="60" customWidth="1" style="16" min="4" max="4"/>
    <col width="29" customWidth="1" style="16" min="5" max="5"/>
    <col width="60" customWidth="1" style="16" min="6" max="6"/>
    <col width="15" customWidth="1" style="16" min="7" max="7"/>
    <col width="13" customWidth="1" style="16" min="8" max="8"/>
  </cols>
  <sheetData>
    <row r="1" ht="39" customHeight="1" s="16">
      <c r="A1" s="12" t="inlineStr">
        <is>
          <t>WEALTHFLOW  |  KIẾN TRÚC, DATA &amp; QUY TẮC NGHIỆP VỤ</t>
        </is>
      </c>
    </row>
    <row r="2" ht="29.1" customHeight="1" s="16">
      <c r="A2" s="13" t="inlineStr">
        <is>
          <t>Đặc tả dùng cho phân công và báo cáo; mọi tên bảng MỚI chỉ là gợi ý, cần xác nhận bằng SQL migration thực tế.</t>
        </is>
      </c>
    </row>
    <row r="4" ht="27" customHeight="1" s="16">
      <c r="A4" s="19" t="inlineStr">
        <is>
          <t>SƠ ĐỒ 4 LỚP / LUỒNG DỮ LIỆU</t>
        </is>
      </c>
    </row>
    <row r="5" ht="32.1" customHeight="1" s="16">
      <c r="A5" s="1" t="inlineStr">
        <is>
          <t>Lớp</t>
        </is>
      </c>
      <c r="B5" s="1" t="inlineStr">
        <is>
          <t>Công nghệ</t>
        </is>
      </c>
      <c r="C5" s="1" t="inlineStr">
        <is>
          <t>File / vị trí</t>
        </is>
      </c>
      <c r="D5" s="1" t="inlineStr">
        <is>
          <t>Trách nhiệm</t>
        </is>
      </c>
      <c r="E5" s="1" t="inlineStr">
        <is>
          <t>Owner</t>
        </is>
      </c>
      <c r="F5" s="1" t="inlineStr">
        <is>
          <t>Lưu ý</t>
        </is>
      </c>
    </row>
    <row r="6" ht="66.95" customHeight="1" s="16">
      <c r="A6" s="2" t="inlineStr">
        <is>
          <t>1. UI</t>
        </is>
      </c>
      <c r="B6" s="2" t="inlineStr">
        <is>
          <t>HTML/CSS/Vanilla JS</t>
        </is>
      </c>
      <c r="C6" s="2" t="inlineStr">
        <is>
          <t>source/frontend/js/landing/main.js; source/frontend/js/app/pages.js; forms.js; main.js</t>
        </is>
      </c>
      <c r="D6" s="2" t="inlineStr">
        <is>
          <t>Form &amp; chart lấy API sau khi login</t>
        </is>
      </c>
      <c r="E6" s="2" t="inlineStr">
        <is>
          <t>Huy + Nguyên + Kiệt</t>
        </is>
      </c>
      <c r="F6" s="2" t="inlineStr">
        <is>
          <t>Không xử lý business logic quan trọng trong JS</t>
        </is>
      </c>
    </row>
    <row r="7" ht="66.95" customHeight="1" s="16">
      <c r="A7" s="2" t="inlineStr">
        <is>
          <t>2. Service</t>
        </is>
      </c>
      <c r="B7" s="2" t="inlineStr">
        <is>
          <t>Fetch + auth API</t>
        </is>
      </c>
      <c r="C7" s="2" t="inlineStr">
        <is>
          <t>source/frontend/js/services/auth-api.js; đề xuất thêm services/finance-api.js</t>
        </is>
      </c>
      <c r="D7" s="2" t="inlineStr">
        <is>
          <t>Request JSON, CSRF/session, loading/error/empty</t>
        </is>
      </c>
      <c r="E7" s="2" t="inlineStr">
        <is>
          <t>Huy xây chuẩn, 2 dev dùng chung</t>
        </is>
      </c>
      <c r="F7" s="2" t="inlineStr">
        <is>
          <t>Không hardcode token, base URL hoặc dùng fixtures làm thật</t>
        </is>
      </c>
    </row>
    <row r="8" ht="66.95" customHeight="1" s="16">
      <c r="A8" s="2" t="inlineStr">
        <is>
          <t>3. PHP</t>
        </is>
      </c>
      <c r="B8" s="2" t="inlineStr">
        <is>
          <t>Router, modules/services/repos</t>
        </is>
      </c>
      <c r="C8" s="2" t="inlineStr">
        <is>
          <t>source/backend/router.php; source/backend/src/Modules/...</t>
        </is>
      </c>
      <c r="D8" s="2" t="inlineStr">
        <is>
          <t>Validate, authorization, ledger, financial reports</t>
        </is>
      </c>
      <c r="E8" s="2" t="inlineStr">
        <is>
          <t>3 dev code theo module</t>
        </is>
      </c>
      <c r="F8" s="2" t="inlineStr">
        <is>
          <t>Không tin userId do client tự gửi</t>
        </is>
      </c>
    </row>
    <row r="9" ht="66.95" customHeight="1" s="16">
      <c r="A9" s="2" t="inlineStr">
        <is>
          <t>4. Data</t>
        </is>
      </c>
      <c r="B9" s="2" t="inlineStr">
        <is>
          <t>MySQL instance độc lập</t>
        </is>
      </c>
      <c r="C9" s="2" t="inlineStr">
        <is>
          <t>source/database/001_initial_schema.sql &amp; migration; C:\xampp\se-instance</t>
        </is>
      </c>
      <c r="D9" s="2" t="inlineStr">
        <is>
          <t>FK/transaction/index/seed</t>
        </is>
      </c>
      <c r="E9" s="2" t="inlineStr">
        <is>
          <t>Trung, review Huy</t>
        </is>
      </c>
      <c r="F9" s="2" t="inlineStr">
        <is>
          <t>MySQL SE 127.0.0.1:3307, tránh LTW 3306</t>
        </is>
      </c>
    </row>
    <row r="10" ht="66.95" customHeight="1" s="16">
      <c r="A10" s="2" t="inlineStr">
        <is>
          <t>5. Test</t>
        </is>
      </c>
      <c r="B10" s="2" t="inlineStr">
        <is>
          <t>Unit + E2E + tài liệu</t>
        </is>
      </c>
      <c r="C10" s="2" t="inlineStr">
        <is>
          <t>source/backend/tests/run_tests.php; docs/test-evidence/</t>
        </is>
      </c>
      <c r="D10" s="2" t="inlineStr">
        <is>
          <t>SQLite unit + MySQL local integration</t>
        </is>
      </c>
      <c r="E10" s="2" t="inlineStr">
        <is>
          <t>Mỗi code owner + Trung</t>
        </is>
      </c>
      <c r="F10" s="2" t="inlineStr">
        <is>
          <t>36 PASSED trong README là kỳ vọng, không phải kết quả đã chạy tại đây</t>
        </is>
      </c>
    </row>
    <row r="13" ht="27" customHeight="1" s="16">
      <c r="A13" s="19" t="inlineStr">
        <is>
          <t>MÔ HÌNH DỮ LIỆU NGHIỆP VỤ — KIỂM TRA LẠI TÊN BẢNG TRONG REPO</t>
        </is>
      </c>
    </row>
    <row r="14" ht="32.1" customHeight="1" s="16">
      <c r="A14" s="1" t="inlineStr">
        <is>
          <t>Entity (tên tham khảo)</t>
        </is>
      </c>
      <c r="B14" s="1" t="inlineStr">
        <is>
          <t>Mục đích</t>
        </is>
      </c>
      <c r="C14" s="1" t="inlineStr">
        <is>
          <t>Quan hệ</t>
        </is>
      </c>
      <c r="D14" s="1" t="inlineStr">
        <is>
          <t>Căn cứ hiện có</t>
        </is>
      </c>
      <c r="E14" s="1" t="inlineStr">
        <is>
          <t>Phụ trách</t>
        </is>
      </c>
      <c r="F14" s="1" t="inlineStr">
        <is>
          <t>Integrity rules</t>
        </is>
      </c>
    </row>
    <row r="15" ht="63" customHeight="1" s="16">
      <c r="A15" s="2" t="inlineStr">
        <is>
          <t>users / auth-related</t>
        </is>
      </c>
      <c r="B15" s="2" t="inlineStr">
        <is>
          <t>User và phiên xác thực</t>
        </is>
      </c>
      <c r="C15" s="2" t="inlineStr">
        <is>
          <t>1–N wallet, transaction, budget, loan...</t>
        </is>
      </c>
      <c r="D15" s="2" t="inlineStr">
        <is>
          <t>Kiểm tra thực tế</t>
        </is>
      </c>
      <c r="E15" s="2" t="inlineStr">
        <is>
          <t>Trung</t>
        </is>
      </c>
      <c r="F15" s="2" t="inlineStr">
        <is>
          <t>UserId là scope của tất cả truy vấn</t>
        </is>
      </c>
    </row>
    <row r="16" ht="63" customHeight="1" s="16">
      <c r="A16" s="2" t="inlineStr">
        <is>
          <t>wallets</t>
        </is>
      </c>
      <c r="B16" s="2" t="inlineStr">
        <is>
          <t>Ví, loại, currency, cached_balance</t>
        </is>
      </c>
      <c r="C16" s="2" t="inlineStr">
        <is>
          <t>N–1 users</t>
        </is>
      </c>
      <c r="D16" s="2" t="inlineStr">
        <is>
          <t>Repository có trong test</t>
        </is>
      </c>
      <c r="E16" s="2" t="inlineStr">
        <is>
          <t>Trung/Nguyên</t>
        </is>
      </c>
      <c r="F16" s="2" t="inlineStr">
        <is>
          <t>Số dư phải có đường đối soát ledger</t>
        </is>
      </c>
    </row>
    <row r="17" ht="63" customHeight="1" s="16">
      <c r="A17" s="2" t="inlineStr">
        <is>
          <t>categories</t>
        </is>
      </c>
      <c r="B17" s="2" t="inlineStr">
        <is>
          <t>Nhóm thu/chi và loại dữ liệu</t>
        </is>
      </c>
      <c r="C17" s="2" t="inlineStr">
        <is>
          <t>N–1 users, transaction</t>
        </is>
      </c>
      <c r="D17" s="2" t="inlineStr">
        <is>
          <t>Repository có trong test</t>
        </is>
      </c>
      <c r="E17" s="2" t="inlineStr">
        <is>
          <t>Trung/Nguyên</t>
        </is>
      </c>
      <c r="F17" s="2" t="inlineStr">
        <is>
          <t>Danh mục mặc định và cá nhân</t>
        </is>
      </c>
    </row>
    <row r="18" ht="63" customHeight="1" s="16">
      <c r="A18" s="2" t="inlineStr">
        <is>
          <t>financial_transactions / ledger_entries</t>
        </is>
      </c>
      <c r="B18" s="2" t="inlineStr">
        <is>
          <t>Giao dịch + bút toán ghi sổ</t>
        </is>
      </c>
      <c r="C18" s="2" t="inlineStr">
        <is>
          <t>1–N entry; N–1 user/wallet/category</t>
        </is>
      </c>
      <c r="D18" s="2" t="inlineStr">
        <is>
          <t>`financial_transactions` thấy trong test; kiểm tra tên entries</t>
        </is>
      </c>
      <c r="E18" s="2" t="inlineStr">
        <is>
          <t>Trung/Nguyên</t>
        </is>
      </c>
      <c r="F18" s="2" t="inlineStr">
        <is>
          <t>Double-entry và reversal, idempotency</t>
        </is>
      </c>
    </row>
    <row r="19" ht="63" customHeight="1" s="16">
      <c r="A19" s="2" t="inlineStr">
        <is>
          <t>exchange_rates / snapshots</t>
        </is>
      </c>
      <c r="B19" s="2" t="inlineStr">
        <is>
          <t>Tỷ giá lưu theo thời điểm</t>
        </is>
      </c>
      <c r="C19" s="2" t="inlineStr">
        <is>
          <t>Dùng khi FX</t>
        </is>
      </c>
      <c r="D19" s="2" t="inlineStr">
        <is>
          <t>Cần xác nhận tên bảng</t>
        </is>
      </c>
      <c r="E19" s="2" t="inlineStr">
        <is>
          <t>Trung/Nguyên</t>
        </is>
      </c>
      <c r="F19" s="2" t="inlineStr">
        <is>
          <t>Amount_base giữ nguyên sau POST</t>
        </is>
      </c>
    </row>
    <row r="20" ht="63" customHeight="1" s="16">
      <c r="A20" s="2" t="inlineStr">
        <is>
          <t>budgets / budget_alerts</t>
        </is>
      </c>
      <c r="B20" s="2" t="inlineStr">
        <is>
          <t>Giới hạn theo tháng, trạng thái cảnh báo</t>
        </is>
      </c>
      <c r="C20" s="2" t="inlineStr">
        <is>
          <t>N–1 user/category</t>
        </is>
      </c>
      <c r="D20" s="2" t="inlineStr">
        <is>
          <t>BudgetRepository có trong test</t>
        </is>
      </c>
      <c r="E20" s="2" t="inlineStr">
        <is>
          <t>Trung/Kiệt</t>
        </is>
      </c>
      <c r="F20" s="2" t="inlineStr">
        <is>
          <t>Unique user/category/month; tránh cảnh báo lặp</t>
        </is>
      </c>
    </row>
    <row r="21" ht="63" customHeight="1" s="16">
      <c r="A21" s="2" t="inlineStr">
        <is>
          <t>recurring_*</t>
        </is>
      </c>
      <c r="B21" s="2" t="inlineStr">
        <is>
          <t>Lịch, kỳ chạy, next_due</t>
        </is>
      </c>
      <c r="C21" s="2" t="inlineStr">
        <is>
          <t>N–1 wallet/category/user</t>
        </is>
      </c>
      <c r="D21" s="2" t="inlineStr">
        <is>
          <t>RecurringRepository có trong test</t>
        </is>
      </c>
      <c r="E21" s="2" t="inlineStr">
        <is>
          <t>Trung/Nguyên</t>
        </is>
      </c>
      <c r="F21" s="2" t="inlineStr">
        <is>
          <t>1 kỳ chỉ có 1 ghi sổ</t>
        </is>
      </c>
    </row>
    <row r="22" ht="63" customHeight="1" s="16">
      <c r="A22" s="2" t="inlineStr">
        <is>
          <t>savings_goals / allocations</t>
        </is>
      </c>
      <c r="B22" s="2" t="inlineStr">
        <is>
          <t>Mục tiêu, phân bổ tiền</t>
        </is>
      </c>
      <c r="C22" s="2" t="inlineStr">
        <is>
          <t>N–1 users, wallet</t>
        </is>
      </c>
      <c r="D22" s="2" t="inlineStr">
        <is>
          <t>Đề xuất; xác nhận trước migration</t>
        </is>
      </c>
      <c r="E22" s="2" t="inlineStr">
        <is>
          <t>Trung/Kiệt</t>
        </is>
      </c>
      <c r="F22" s="2" t="inlineStr">
        <is>
          <t>Earmark không cộng tài sản 2 lần</t>
        </is>
      </c>
    </row>
    <row r="23" ht="63" customHeight="1" s="16">
      <c r="A23" s="2" t="inlineStr">
        <is>
          <t>loans / loan_payments</t>
        </is>
      </c>
      <c r="B23" s="2" t="inlineStr">
        <is>
          <t>Khoản vay/cho vay, gốc lãi phí</t>
        </is>
      </c>
      <c r="C23" s="2" t="inlineStr">
        <is>
          <t>N–1 users</t>
        </is>
      </c>
      <c r="D23" s="2" t="inlineStr">
        <is>
          <t>Đề xuất; xác nhận trước migration</t>
        </is>
      </c>
      <c r="E23" s="2" t="inlineStr">
        <is>
          <t>Trung/Kiệt</t>
        </is>
      </c>
      <c r="F23" s="2" t="inlineStr">
        <is>
          <t>Principal khác Expense</t>
        </is>
      </c>
    </row>
    <row r="24" ht="63" customHeight="1" s="16">
      <c r="A24" s="2" t="inlineStr">
        <is>
          <t>gold_assets / valuations</t>
        </is>
      </c>
      <c r="B24" s="2" t="inlineStr">
        <is>
          <t>Tài sản vàng và lần định giá</t>
        </is>
      </c>
      <c r="C24" s="2" t="inlineStr">
        <is>
          <t>N–1 users</t>
        </is>
      </c>
      <c r="D24" s="2" t="inlineStr">
        <is>
          <t>Đề xuất; xác nhận trước migration</t>
        </is>
      </c>
      <c r="E24" s="2" t="inlineStr">
        <is>
          <t>Trung/Kiệt</t>
        </is>
      </c>
      <c r="F24" s="2" t="inlineStr">
        <is>
          <t>Snapshot định giá theo ngày</t>
        </is>
      </c>
    </row>
    <row r="25" ht="63" customHeight="1" s="16">
      <c r="A25" s="2" t="inlineStr">
        <is>
          <t>notifications / logs</t>
        </is>
      </c>
      <c r="B25" s="2" t="inlineStr">
        <is>
          <t>Thông báo, audit</t>
        </is>
      </c>
      <c r="C25" s="2" t="inlineStr">
        <is>
          <t>N–1 users</t>
        </is>
      </c>
      <c r="D25" s="2" t="inlineStr">
        <is>
          <t>NotificationService có trong test</t>
        </is>
      </c>
      <c r="E25" s="2" t="inlineStr">
        <is>
          <t>Trung/Kiệt/Huy</t>
        </is>
      </c>
      <c r="F25" s="2" t="inlineStr">
        <is>
          <t>Ownership + dedupe</t>
        </is>
      </c>
    </row>
    <row r="26" ht="63" customHeight="1" s="16">
      <c r="A26" s="2" t="inlineStr">
        <is>
          <t>net_worth_snapshots</t>
        </is>
      </c>
      <c r="B26" s="2" t="inlineStr">
        <is>
          <t>Dữ liệu tài sản ròng theo kỳ</t>
        </is>
      </c>
      <c r="C26" s="2" t="inlineStr">
        <is>
          <t>N–1 users</t>
        </is>
      </c>
      <c r="D26" s="2" t="inlineStr">
        <is>
          <t>Đề xuất; xác nhận trước migration</t>
        </is>
      </c>
      <c r="E26" s="2" t="inlineStr">
        <is>
          <t>Trung/Kiệt</t>
        </is>
      </c>
      <c r="F26" s="2" t="inlineStr">
        <is>
          <t>Không tính chồng tiền mục tiêu</t>
        </is>
      </c>
    </row>
    <row r="29" ht="27" customHeight="1" s="16">
      <c r="A29" s="19" t="inlineStr">
        <is>
          <t>QUY TẮC TÍNH TOÁN CẦN THỐNG NHẤT VỚI GIẢNG VIÊN</t>
        </is>
      </c>
    </row>
    <row r="30" ht="32.1" customHeight="1" s="16">
      <c r="A30" s="1" t="inlineStr">
        <is>
          <t>Mã</t>
        </is>
      </c>
      <c r="B30" s="1" t="inlineStr">
        <is>
          <t>Quy tắc</t>
        </is>
      </c>
      <c r="C30" s="1" t="inlineStr">
        <is>
          <t>Tiêu chí nghiệm thu</t>
        </is>
      </c>
      <c r="D30" s="1" t="inlineStr">
        <is>
          <t>Liên quan</t>
        </is>
      </c>
    </row>
    <row r="31" ht="39" customHeight="1" s="16">
      <c r="A31" s="2" t="inlineStr">
        <is>
          <t>BR01</t>
        </is>
      </c>
      <c r="B31" s="2" t="inlineStr">
        <is>
          <t>Net Worth = Tổng tài sản − Tổng nợ phải trả</t>
        </is>
      </c>
      <c r="C31" s="2" t="inlineStr">
        <is>
          <t>Không cộng tiền đã phân bổ mục tiêu như tài sản mới</t>
        </is>
      </c>
      <c r="D31" s="2" t="inlineStr">
        <is>
          <t>FR12</t>
        </is>
      </c>
    </row>
    <row r="32" ht="39" customHeight="1" s="16">
      <c r="A32" s="2" t="inlineStr">
        <is>
          <t>BR02</t>
        </is>
      </c>
      <c r="B32" s="2" t="inlineStr">
        <is>
          <t>Net Cash Flow = Income − Expense</t>
        </is>
      </c>
      <c r="C32" s="2" t="inlineStr">
        <is>
          <t>Loại transfer, tiền vay nhận và trả nợ gốc khỏi thu nhập/chi phí</t>
        </is>
      </c>
      <c r="D32" s="2" t="inlineStr">
        <is>
          <t>FR03,FR13</t>
        </is>
      </c>
    </row>
    <row r="33" ht="39" customHeight="1" s="16">
      <c r="A33" s="2" t="inlineStr">
        <is>
          <t>BR03</t>
        </is>
      </c>
      <c r="B33" s="2" t="inlineStr">
        <is>
          <t>Saving Rate = (Income − Expense)/Income</t>
        </is>
      </c>
      <c r="C33" s="2" t="inlineStr">
        <is>
          <t>Income &lt;= 0 =&gt; N/A; không chia 0</t>
        </is>
      </c>
      <c r="D33" s="2" t="inlineStr">
        <is>
          <t>FR13</t>
        </is>
      </c>
    </row>
    <row r="34" ht="39" customHeight="1" s="16">
      <c r="A34" s="2" t="inlineStr">
        <is>
          <t>BR04</t>
        </is>
      </c>
      <c r="B34" s="2" t="inlineStr">
        <is>
          <t>Double-entry</t>
        </is>
      </c>
      <c r="C34" s="2" t="inlineStr">
        <is>
          <t>Tổng DebitBase = CreditBase trong một giao dịch Posted</t>
        </is>
      </c>
      <c r="D34" s="2" t="inlineStr">
        <is>
          <t>FR03</t>
        </is>
      </c>
    </row>
    <row r="35" ht="39" customHeight="1" s="16">
      <c r="A35" s="2" t="inlineStr">
        <is>
          <t>BR05</t>
        </is>
      </c>
      <c r="B35" s="2" t="inlineStr">
        <is>
          <t>Transfer</t>
        </is>
      </c>
      <c r="C35" s="2" t="inlineStr">
        <is>
          <t>Một ví giảm, ví kia tăng; không tạo Thu/Chi</t>
        </is>
      </c>
      <c r="D35" s="2" t="inlineStr">
        <is>
          <t>FR03</t>
        </is>
      </c>
    </row>
    <row r="36" ht="39" customHeight="1" s="16">
      <c r="A36" s="2" t="inlineStr">
        <is>
          <t>BR06</t>
        </is>
      </c>
      <c r="B36" s="2" t="inlineStr">
        <is>
          <t>Reversal</t>
        </is>
      </c>
      <c r="C36" s="2" t="inlineStr">
        <is>
          <t>Ghi bút toán đảo liên kết transaction cũ; không xóa Posted</t>
        </is>
      </c>
      <c r="D36" s="2" t="inlineStr">
        <is>
          <t>FR03</t>
        </is>
      </c>
    </row>
    <row r="37" ht="39" customHeight="1" s="16">
      <c r="A37" s="2" t="inlineStr">
        <is>
          <t>BR07</t>
        </is>
      </c>
      <c r="B37" s="2" t="inlineStr">
        <is>
          <t>Budget usage</t>
        </is>
      </c>
      <c r="C37" s="2" t="inlineStr">
        <is>
          <t>Net expense có loại trừ internal transfer/gốc nợ; 80/100%</t>
        </is>
      </c>
      <c r="D37" s="2" t="inlineStr">
        <is>
          <t>FR05</t>
        </is>
      </c>
    </row>
    <row r="38" ht="39" customHeight="1" s="16">
      <c r="A38" s="2" t="inlineStr">
        <is>
          <t>BR08</t>
        </is>
      </c>
      <c r="B38" s="2" t="inlineStr">
        <is>
          <t>Alert dedupe</t>
        </is>
      </c>
      <c r="C38" s="2" t="inlineStr">
        <is>
          <t>Mỗi ngưỡng loại YELLOW/RED chỉ một lần trong mỗi kỳ</t>
        </is>
      </c>
      <c r="D38" s="2" t="inlineStr">
        <is>
          <t>FR05,FR14</t>
        </is>
      </c>
    </row>
    <row r="39" ht="39" customHeight="1" s="16">
      <c r="A39" s="2" t="inlineStr">
        <is>
          <t>BR09</t>
        </is>
      </c>
      <c r="B39" s="2" t="inlineStr">
        <is>
          <t>Monthly clamp</t>
        </is>
      </c>
      <c r="C39" s="2" t="inlineStr">
        <is>
          <t>Ngày neo 31 chuyển sang ngày cuối tháng, phục hồi 31 khi đủ ngày</t>
        </is>
      </c>
      <c r="D39" s="2" t="inlineStr">
        <is>
          <t>FR06</t>
        </is>
      </c>
    </row>
    <row r="40" ht="39" customHeight="1" s="16">
      <c r="A40" s="2" t="inlineStr">
        <is>
          <t>BR10</t>
        </is>
      </c>
      <c r="B40" s="2" t="inlineStr">
        <is>
          <t>Loan principal</t>
        </is>
      </c>
      <c r="C40" s="2" t="inlineStr">
        <is>
          <t>Trả gốc làm giảm ví và khoản nợ; lãi/phí tính expense</t>
        </is>
      </c>
      <c r="D40" s="2" t="inlineStr">
        <is>
          <t>FR10</t>
        </is>
      </c>
    </row>
    <row r="41" ht="39" customHeight="1" s="16">
      <c r="A41" s="2" t="inlineStr">
        <is>
          <t>BR11</t>
        </is>
      </c>
      <c r="B41" s="2" t="inlineStr">
        <is>
          <t>FX snapshot</t>
        </is>
      </c>
      <c r="C41" s="2" t="inlineStr">
        <is>
          <t>Không dùng tỷ giá hiện tại để sửa amount_base của giao dịch đã Posted</t>
        </is>
      </c>
      <c r="D41" s="2" t="inlineStr">
        <is>
          <t>FR04</t>
        </is>
      </c>
    </row>
    <row r="42" ht="39" customHeight="1" s="16">
      <c r="A42" s="2" t="inlineStr">
        <is>
          <t>BR12</t>
        </is>
      </c>
      <c r="B42" s="2" t="inlineStr">
        <is>
          <t>Ownership</t>
        </is>
      </c>
      <c r="C42" s="2" t="inlineStr">
        <is>
          <t>WHERE user_id=current authenticated user trong mọi truy vấn tài chính</t>
        </is>
      </c>
      <c r="D42" s="2" t="inlineStr">
        <is>
          <t>NFR01</t>
        </is>
      </c>
    </row>
  </sheetData>
  <mergeCells count="5">
    <mergeCell ref="A4:H4"/>
    <mergeCell ref="A29:H29"/>
    <mergeCell ref="A2:H2"/>
    <mergeCell ref="A13:H13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17" customWidth="1" style="16" min="2" max="2"/>
    <col width="46" customWidth="1" style="16" min="3" max="3"/>
    <col width="65" customWidth="1" style="16" min="4" max="4"/>
    <col width="81" customWidth="1" style="16" min="5" max="5"/>
    <col width="28" customWidth="1" style="16" min="6" max="7"/>
    <col width="13" customWidth="1" style="16" min="8" max="8"/>
    <col width="15" customWidth="1" style="16" min="9" max="9"/>
    <col width="35" customWidth="1" style="16" min="10" max="10"/>
  </cols>
  <sheetData>
    <row r="1" ht="39" customHeight="1" s="16">
      <c r="A1" s="12" t="inlineStr">
        <is>
          <t>WEALTHFLOW  |  TEST CASES &amp; BẰNG CHỨNG NGHIỆM THU</t>
        </is>
      </c>
    </row>
    <row r="2" ht="29.1" customHeight="1" s="16">
      <c r="A2" s="13" t="inlineStr">
        <is>
          <t>Test case cần có PASS/FAIL, ngày chạy, môi trường và link bằng chứng; để Not Run mặc định vì chưa thực thi trên máy nhóm.</t>
        </is>
      </c>
    </row>
    <row r="3" ht="32.1" customHeight="1" s="16">
      <c r="A3" s="1" t="inlineStr">
        <is>
          <t>Test ID</t>
        </is>
      </c>
      <c r="B3" s="1" t="inlineStr">
        <is>
          <t>Liên kết FR</t>
        </is>
      </c>
      <c r="C3" s="1" t="inlineStr">
        <is>
          <t>Kịch bản</t>
        </is>
      </c>
      <c r="D3" s="1" t="inlineStr">
        <is>
          <t>Bước kiểm thử</t>
        </is>
      </c>
      <c r="E3" s="1" t="inlineStr">
        <is>
          <t>Kết quả mong đợi</t>
        </is>
      </c>
      <c r="F3" s="1" t="inlineStr">
        <is>
          <t>Thực hiện</t>
        </is>
      </c>
      <c r="G3" s="1" t="inlineStr">
        <is>
          <t>Người xác nhận</t>
        </is>
      </c>
      <c r="H3" s="1" t="inlineStr">
        <is>
          <t>Ưu tiên</t>
        </is>
      </c>
      <c r="I3" s="1" t="inlineStr">
        <is>
          <t>Kết quả</t>
        </is>
      </c>
      <c r="J3" s="1" t="inlineStr">
        <is>
          <t>Link minh chứng / ngày</t>
        </is>
      </c>
    </row>
    <row r="4" ht="62.1" customHeight="1" s="16">
      <c r="A4" s="2" t="inlineStr">
        <is>
          <t>TC-01</t>
        </is>
      </c>
      <c r="B4" s="2" t="inlineStr">
        <is>
          <t>FR01</t>
        </is>
      </c>
      <c r="C4" s="2" t="inlineStr">
        <is>
          <t>Đăng ký user mới</t>
        </is>
      </c>
      <c r="D4" s="2" t="inlineStr">
        <is>
          <t>Nhập email hợp lệ + mật khẩu mạnh</t>
        </is>
      </c>
      <c r="E4" s="2" t="inlineStr">
        <is>
          <t>Tạo user đúng và không lộ secret</t>
        </is>
      </c>
      <c r="F4" s="2" t="inlineStr">
        <is>
          <t>Võ Trịnh Quốc Huy</t>
        </is>
      </c>
      <c r="G4" s="2" t="inlineStr">
        <is>
          <t>Nguyễn Thành Trung</t>
        </is>
      </c>
      <c r="H4" s="2" t="inlineStr">
        <is>
          <t>P1</t>
        </is>
      </c>
      <c r="I4" s="2" t="inlineStr">
        <is>
          <t>Not Run</t>
        </is>
      </c>
      <c r="J4" s="2" t="n"/>
    </row>
    <row r="5" ht="62.1" customHeight="1" s="16">
      <c r="A5" s="2" t="inlineStr">
        <is>
          <t>TC-02</t>
        </is>
      </c>
      <c r="B5" s="2" t="inlineStr">
        <is>
          <t>FR01</t>
        </is>
      </c>
      <c r="C5" s="2" t="inlineStr">
        <is>
          <t>Trùng email / sai password</t>
        </is>
      </c>
      <c r="D5" s="2" t="inlineStr">
        <is>
          <t>Đăng ký trùng và login sai</t>
        </is>
      </c>
      <c r="E5" s="2" t="inlineStr">
        <is>
          <t>Từ chối đúng mã; không tạo bản ghi trùng</t>
        </is>
      </c>
      <c r="F5" s="2" t="inlineStr">
        <is>
          <t>Võ Trịnh Quốc Huy</t>
        </is>
      </c>
      <c r="G5" s="2" t="inlineStr">
        <is>
          <t>Nguyễn Thành Trung</t>
        </is>
      </c>
      <c r="H5" s="2" t="inlineStr">
        <is>
          <t>P1</t>
        </is>
      </c>
      <c r="I5" s="2" t="inlineStr">
        <is>
          <t>Not Run</t>
        </is>
      </c>
      <c r="J5" s="2" t="n"/>
    </row>
    <row r="6" ht="62.1" customHeight="1" s="16">
      <c r="A6" s="2" t="inlineStr">
        <is>
          <t>TC-03</t>
        </is>
      </c>
      <c r="B6" s="2" t="inlineStr">
        <is>
          <t>FR01</t>
        </is>
      </c>
      <c r="C6" s="2" t="inlineStr">
        <is>
          <t>OTP hết hạn/vượt số lần</t>
        </is>
      </c>
      <c r="D6" s="2" t="inlineStr">
        <is>
          <t>Dùng OTP quá 10 phút hoặc nhập sai &gt;5</t>
        </is>
      </c>
      <c r="E6" s="2" t="inlineStr">
        <is>
          <t>Vô hiệu hóa OTP; không đổi mật khẩu</t>
        </is>
      </c>
      <c r="F6" s="2" t="inlineStr">
        <is>
          <t>Võ Trịnh Quốc Huy</t>
        </is>
      </c>
      <c r="G6" s="2" t="inlineStr">
        <is>
          <t>Nguyễn Thành Trung</t>
        </is>
      </c>
      <c r="H6" s="2" t="inlineStr">
        <is>
          <t>P1</t>
        </is>
      </c>
      <c r="I6" s="2" t="inlineStr">
        <is>
          <t>Not Run</t>
        </is>
      </c>
      <c r="J6" s="2" t="n"/>
    </row>
    <row r="7" ht="62.1" customHeight="1" s="16">
      <c r="A7" s="2" t="inlineStr">
        <is>
          <t>TC-04</t>
        </is>
      </c>
      <c r="B7" s="2" t="inlineStr">
        <is>
          <t>NFR01</t>
        </is>
      </c>
      <c r="C7" s="2" t="inlineStr">
        <is>
          <t>Cách ly userId / IDOR</t>
        </is>
      </c>
      <c r="D7" s="2" t="inlineStr">
        <is>
          <t>User A dùng ID ví/giao dịch của User B</t>
        </is>
      </c>
      <c r="E7" s="2" t="inlineStr">
        <is>
          <t>403/404; không đọc/sửa/xóa dữ liệu của B</t>
        </is>
      </c>
      <c r="F7" s="2" t="inlineStr">
        <is>
          <t>Võ Trịnh Quốc Huy</t>
        </is>
      </c>
      <c r="G7" s="2" t="inlineStr">
        <is>
          <t>Nguyễn Thành Trung</t>
        </is>
      </c>
      <c r="H7" s="2" t="inlineStr">
        <is>
          <t>P1</t>
        </is>
      </c>
      <c r="I7" s="2" t="inlineStr">
        <is>
          <t>Not Run</t>
        </is>
      </c>
      <c r="J7" s="2" t="n"/>
    </row>
    <row r="8" ht="62.1" customHeight="1" s="16">
      <c r="A8" s="2" t="inlineStr">
        <is>
          <t>TC-05</t>
        </is>
      </c>
      <c r="B8" s="2" t="inlineStr">
        <is>
          <t>FR07</t>
        </is>
      </c>
      <c r="C8" s="2" t="inlineStr">
        <is>
          <t>Tạo ví và lưu trữ</t>
        </is>
      </c>
      <c r="D8" s="2" t="inlineStr">
        <is>
          <t>Tạo ví; lưu trữ khi balance&gt;0 hoặc có recurring</t>
        </is>
      </c>
      <c r="E8" s="2" t="inlineStr">
        <is>
          <t>Chỉ lưu trữ khi thỏa điều kiện</t>
        </is>
      </c>
      <c r="F8" s="2" t="inlineStr">
        <is>
          <t>Võ Văn Khôi Nguyên</t>
        </is>
      </c>
      <c r="G8" s="2" t="inlineStr">
        <is>
          <t>Nguyễn Thành Trung</t>
        </is>
      </c>
      <c r="H8" s="2" t="inlineStr">
        <is>
          <t>P1</t>
        </is>
      </c>
      <c r="I8" s="2" t="inlineStr">
        <is>
          <t>Not Run</t>
        </is>
      </c>
      <c r="J8" s="2" t="n"/>
    </row>
    <row r="9" ht="62.1" customHeight="1" s="16">
      <c r="A9" s="2" t="inlineStr">
        <is>
          <t>TC-06</t>
        </is>
      </c>
      <c r="B9" s="2" t="inlineStr">
        <is>
          <t>FR03</t>
        </is>
      </c>
      <c r="C9" s="2" t="inlineStr">
        <is>
          <t>Ghi thu/chi có ledger cân</t>
        </is>
      </c>
      <c r="D9" s="2" t="inlineStr">
        <is>
          <t>POST thu/chi từ 1 ví</t>
        </is>
      </c>
      <c r="E9" s="2" t="inlineStr">
        <is>
          <t>Sum debit=credit; số dư đúng, refresh còn</t>
        </is>
      </c>
      <c r="F9" s="2" t="inlineStr">
        <is>
          <t>Võ Văn Khôi Nguyên</t>
        </is>
      </c>
      <c r="G9" s="2" t="inlineStr">
        <is>
          <t>Nguyễn Thành Trung</t>
        </is>
      </c>
      <c r="H9" s="2" t="inlineStr">
        <is>
          <t>P1</t>
        </is>
      </c>
      <c r="I9" s="2" t="inlineStr">
        <is>
          <t>Not Run</t>
        </is>
      </c>
      <c r="J9" s="2" t="n"/>
    </row>
    <row r="10" ht="62.1" customHeight="1" s="16">
      <c r="A10" s="2" t="inlineStr">
        <is>
          <t>TC-07</t>
        </is>
      </c>
      <c r="B10" s="2" t="inlineStr">
        <is>
          <t>FR03</t>
        </is>
      </c>
      <c r="C10" s="2" t="inlineStr">
        <is>
          <t>Chuyển ví không thành Thu/Chi</t>
        </is>
      </c>
      <c r="D10" s="2" t="inlineStr">
        <is>
          <t>Chuyển 500.000 giữa hai ví</t>
        </is>
      </c>
      <c r="E10" s="2" t="inlineStr">
        <is>
          <t>Ví nguồn -500k, đích +500k, income/expense không đổi</t>
        </is>
      </c>
      <c r="F10" s="2" t="inlineStr">
        <is>
          <t>Võ Văn Khôi Nguyên</t>
        </is>
      </c>
      <c r="G10" s="2" t="inlineStr">
        <is>
          <t>Võ Trịnh Quốc Huy</t>
        </is>
      </c>
      <c r="H10" s="2" t="inlineStr">
        <is>
          <t>P1</t>
        </is>
      </c>
      <c r="I10" s="2" t="inlineStr">
        <is>
          <t>Not Run</t>
        </is>
      </c>
      <c r="J10" s="2" t="n"/>
    </row>
    <row r="11" ht="62.1" customHeight="1" s="16">
      <c r="A11" s="2" t="inlineStr">
        <is>
          <t>TC-08</t>
        </is>
      </c>
      <c r="B11" s="2" t="inlineStr">
        <is>
          <t>FR03</t>
        </is>
      </c>
      <c r="C11" s="2" t="inlineStr">
        <is>
          <t>Reversal thay vì xóa</t>
        </is>
      </c>
      <c r="D11" s="2" t="inlineStr">
        <is>
          <t>Đảo posted transaction</t>
        </is>
      </c>
      <c r="E11" s="2" t="inlineStr">
        <is>
          <t>Có transaction liên kết đảo; số dư được hoàn trả</t>
        </is>
      </c>
      <c r="F11" s="2" t="inlineStr">
        <is>
          <t>Võ Văn Khôi Nguyên</t>
        </is>
      </c>
      <c r="G11" s="2" t="inlineStr">
        <is>
          <t>Võ Trịnh Quốc Huy</t>
        </is>
      </c>
      <c r="H11" s="2" t="inlineStr">
        <is>
          <t>P1</t>
        </is>
      </c>
      <c r="I11" s="2" t="inlineStr">
        <is>
          <t>Not Run</t>
        </is>
      </c>
      <c r="J11" s="2" t="n"/>
    </row>
    <row r="12" ht="62.1" customHeight="1" s="16">
      <c r="A12" s="2" t="inlineStr">
        <is>
          <t>TC-09</t>
        </is>
      </c>
      <c r="B12" s="2" t="inlineStr">
        <is>
          <t>FR03</t>
        </is>
      </c>
      <c r="C12" s="2" t="inlineStr">
        <is>
          <t>Idempotency tránh ghi đôi</t>
        </is>
      </c>
      <c r="D12" s="2" t="inlineStr">
        <is>
          <t>Gửi 2 request cùng idempotency key</t>
        </is>
      </c>
      <c r="E12" s="2" t="inlineStr">
        <is>
          <t>Chỉ một lần phát sinh bút toán</t>
        </is>
      </c>
      <c r="F12" s="2" t="inlineStr">
        <is>
          <t>Võ Văn Khôi Nguyên</t>
        </is>
      </c>
      <c r="G12" s="2" t="inlineStr">
        <is>
          <t>Võ Trịnh Quốc Huy</t>
        </is>
      </c>
      <c r="H12" s="2" t="inlineStr">
        <is>
          <t>P1</t>
        </is>
      </c>
      <c r="I12" s="2" t="inlineStr">
        <is>
          <t>Not Run</t>
        </is>
      </c>
      <c r="J12" s="2" t="n"/>
    </row>
    <row r="13" ht="62.1" customHeight="1" s="16">
      <c r="A13" s="2" t="inlineStr">
        <is>
          <t>TC-10</t>
        </is>
      </c>
      <c r="B13" s="2" t="inlineStr">
        <is>
          <t>FR04</t>
        </is>
      </c>
      <c r="C13" s="2" t="inlineStr">
        <is>
          <t>Foreign exchange snapshot</t>
        </is>
      </c>
      <c r="D13" s="2" t="inlineStr">
        <is>
          <t>Ghi USD khi có rate, sau đó đổi rate</t>
        </is>
      </c>
      <c r="E13" s="2" t="inlineStr">
        <is>
          <t>Số amount_base lịch sử bất biến</t>
        </is>
      </c>
      <c r="F13" s="2" t="inlineStr">
        <is>
          <t>Võ Văn Khôi Nguyên</t>
        </is>
      </c>
      <c r="G13" s="2" t="inlineStr">
        <is>
          <t>Nguyễn Thành Trung</t>
        </is>
      </c>
      <c r="H13" s="2" t="inlineStr">
        <is>
          <t>P2</t>
        </is>
      </c>
      <c r="I13" s="2" t="inlineStr">
        <is>
          <t>Not Run</t>
        </is>
      </c>
      <c r="J13" s="2" t="n"/>
    </row>
    <row r="14" ht="62.1" customHeight="1" s="16">
      <c r="A14" s="2" t="inlineStr">
        <is>
          <t>TC-11</t>
        </is>
      </c>
      <c r="B14" s="2" t="inlineStr">
        <is>
          <t>FR08</t>
        </is>
      </c>
      <c r="C14" s="2" t="inlineStr">
        <is>
          <t>Danh mục có giao dịch</t>
        </is>
      </c>
      <c r="D14" s="2" t="inlineStr">
        <is>
          <t>Lưu trữ/xóa danh mục đã dùng</t>
        </is>
      </c>
      <c r="E14" s="2" t="inlineStr">
        <is>
          <t>Không xóa khiến giao dịch mất FK</t>
        </is>
      </c>
      <c r="F14" s="2" t="inlineStr">
        <is>
          <t>Võ Văn Khôi Nguyên</t>
        </is>
      </c>
      <c r="G14" s="2" t="inlineStr">
        <is>
          <t>Nguyễn Thành Trung</t>
        </is>
      </c>
      <c r="H14" s="2" t="inlineStr">
        <is>
          <t>P1</t>
        </is>
      </c>
      <c r="I14" s="2" t="inlineStr">
        <is>
          <t>Not Run</t>
        </is>
      </c>
      <c r="J14" s="2" t="n"/>
    </row>
    <row r="15" ht="62.1" customHeight="1" s="16">
      <c r="A15" s="2" t="inlineStr">
        <is>
          <t>TC-12</t>
        </is>
      </c>
      <c r="B15" s="2" t="inlineStr">
        <is>
          <t>FR05</t>
        </is>
      </c>
      <c r="C15" s="2" t="inlineStr">
        <is>
          <t>Ngưỡng ngân sách 80% / 100%</t>
        </is>
      </c>
      <c r="D15" s="2" t="inlineStr">
        <is>
          <t>Chi tiêu vượt lần lượt 80 và 100%</t>
        </is>
      </c>
      <c r="E15" s="2" t="inlineStr">
        <is>
          <t>Cảnh báo đúng 1 lần/ngưỡng/kỳ</t>
        </is>
      </c>
      <c r="F15" s="2" t="inlineStr">
        <is>
          <t>Phạm Nguyễn Tuấn Kiệt</t>
        </is>
      </c>
      <c r="G15" s="2" t="inlineStr">
        <is>
          <t>Võ Văn Khôi Nguyên</t>
        </is>
      </c>
      <c r="H15" s="2" t="inlineStr">
        <is>
          <t>P1</t>
        </is>
      </c>
      <c r="I15" s="2" t="inlineStr">
        <is>
          <t>Pass</t>
        </is>
      </c>
      <c r="J15" s="2" t="inlineStr">
        <is>
          <t>2026-10-18 — source/backend/tests/run_tests.php (TC-F05.02, TC-12.1, TC-12.2 PASS)</t>
        </is>
      </c>
    </row>
    <row r="16" ht="62.1" customHeight="1" s="16">
      <c r="A16" s="2" t="inlineStr">
        <is>
          <t>TC-13</t>
        </is>
      </c>
      <c r="B16" s="2" t="inlineStr">
        <is>
          <t>FR05</t>
        </is>
      </c>
      <c r="C16" s="2" t="inlineStr">
        <is>
          <t>Loại transfer/gốc nợ khỏi budget</t>
        </is>
      </c>
      <c r="D16" s="2" t="inlineStr">
        <is>
          <t>Chuyển ví/trả gốc và kiểm tra budget</t>
        </is>
      </c>
      <c r="E16" s="2" t="inlineStr">
        <is>
          <t>Net expense không bị cộng sai</t>
        </is>
      </c>
      <c r="F16" s="2" t="inlineStr">
        <is>
          <t>Phạm Nguyễn Tuấn Kiệt</t>
        </is>
      </c>
      <c r="G16" s="2" t="inlineStr">
        <is>
          <t>Nguyễn Thành Trung</t>
        </is>
      </c>
      <c r="H16" s="2" t="inlineStr">
        <is>
          <t>P1</t>
        </is>
      </c>
      <c r="I16" s="2" t="inlineStr">
        <is>
          <t>Pass</t>
        </is>
      </c>
      <c r="J16" s="2" t="inlineStr">
        <is>
          <t>2026-10-18 — source/backend/tests/run_tests.php (TC-13 BR07 PASS)</t>
        </is>
      </c>
    </row>
    <row r="17" ht="62.1" customHeight="1" s="16">
      <c r="A17" s="2" t="inlineStr">
        <is>
          <t>TC-14</t>
        </is>
      </c>
      <c r="B17" s="2" t="inlineStr">
        <is>
          <t>FR06</t>
        </is>
      </c>
      <c r="C17" s="2" t="inlineStr">
        <is>
          <t>Ngày định kỳ 31 → 28 → 31</t>
        </is>
      </c>
      <c r="D17" s="2" t="inlineStr">
        <is>
          <t>Tạo lịch ngày 31 qua tháng 2, tháng 3</t>
        </is>
      </c>
      <c r="E17" s="2" t="inlineStr">
        <is>
          <t>Next_due chính xác</t>
        </is>
      </c>
      <c r="F17" s="2" t="inlineStr">
        <is>
          <t>Võ Văn Khôi Nguyên</t>
        </is>
      </c>
      <c r="G17" s="2" t="inlineStr">
        <is>
          <t>Nguyễn Thành Trung</t>
        </is>
      </c>
      <c r="H17" s="2" t="inlineStr">
        <is>
          <t>P1</t>
        </is>
      </c>
      <c r="I17" s="2" t="inlineStr">
        <is>
          <t>Not Run</t>
        </is>
      </c>
      <c r="J17" s="2" t="n"/>
    </row>
    <row r="18" ht="62.1" customHeight="1" s="16">
      <c r="A18" s="2" t="inlineStr">
        <is>
          <t>TC-15</t>
        </is>
      </c>
      <c r="B18" s="2" t="inlineStr">
        <is>
          <t>FR06</t>
        </is>
      </c>
      <c r="C18" s="2" t="inlineStr">
        <is>
          <t>Worker chạy lại trong cùng kỳ</t>
        </is>
      </c>
      <c r="D18" s="2" t="inlineStr">
        <is>
          <t>Chạy recurring worker 2 lần</t>
        </is>
      </c>
      <c r="E18" s="2" t="inlineStr">
        <is>
          <t>Không tạo giao dịch trùng kỳ</t>
        </is>
      </c>
      <c r="F18" s="2" t="inlineStr">
        <is>
          <t>Võ Văn Khôi Nguyên</t>
        </is>
      </c>
      <c r="G18" s="2" t="inlineStr">
        <is>
          <t>Võ Trịnh Quốc Huy</t>
        </is>
      </c>
      <c r="H18" s="2" t="inlineStr">
        <is>
          <t>P1</t>
        </is>
      </c>
      <c r="I18" s="2" t="inlineStr">
        <is>
          <t>Not Run</t>
        </is>
      </c>
      <c r="J18" s="2" t="n"/>
    </row>
    <row r="19" ht="62.1" customHeight="1" s="16">
      <c r="A19" s="2" t="inlineStr">
        <is>
          <t>TC-16</t>
        </is>
      </c>
      <c r="B19" s="2" t="inlineStr">
        <is>
          <t>FR09</t>
        </is>
      </c>
      <c r="C19" s="2" t="inlineStr">
        <is>
          <t>Phân bổ tiết kiệm</t>
        </is>
      </c>
      <c r="D19" s="2" t="inlineStr">
        <is>
          <t>Phân bổ 1 triệu vào một goal</t>
        </is>
      </c>
      <c r="E19" s="2" t="inlineStr">
        <is>
          <t>Goal tăng; tổng Net Worth không tăng</t>
        </is>
      </c>
      <c r="F19" s="2" t="inlineStr">
        <is>
          <t>Phạm Nguyễn Tuấn Kiệt</t>
        </is>
      </c>
      <c r="G19" s="2" t="inlineStr">
        <is>
          <t>Nguyễn Thành Trung</t>
        </is>
      </c>
      <c r="H19" s="2" t="inlineStr">
        <is>
          <t>P1</t>
        </is>
      </c>
      <c r="I19" s="2" t="inlineStr">
        <is>
          <t>Not Run</t>
        </is>
      </c>
      <c r="J19" s="2" t="n"/>
    </row>
    <row r="20" ht="62.1" customHeight="1" s="16">
      <c r="A20" s="2" t="inlineStr">
        <is>
          <t>TC-17</t>
        </is>
      </c>
      <c r="B20" s="2" t="inlineStr">
        <is>
          <t>FR10</t>
        </is>
      </c>
      <c r="C20" s="2" t="inlineStr">
        <is>
          <t>Vay 5tr → trả gốc 1tr, lãi 50k</t>
        </is>
      </c>
      <c r="D20" s="2" t="inlineStr">
        <is>
          <t>Ghi nhận dòng tiền nhận vay và trả nợ</t>
        </is>
      </c>
      <c r="E20" s="2" t="inlineStr">
        <is>
          <t>Dư nợ còn 4tr, expense chỉ có 50k tiền lãi</t>
        </is>
      </c>
      <c r="F20" s="2" t="inlineStr">
        <is>
          <t>Phạm Nguyễn Tuấn Kiệt</t>
        </is>
      </c>
      <c r="G20" s="2" t="inlineStr">
        <is>
          <t>Nguyễn Thành Trung</t>
        </is>
      </c>
      <c r="H20" s="2" t="inlineStr">
        <is>
          <t>P1</t>
        </is>
      </c>
      <c r="I20" s="2" t="inlineStr">
        <is>
          <t>Not Run</t>
        </is>
      </c>
      <c r="J20" s="2" t="n"/>
    </row>
    <row r="21" ht="62.1" customHeight="1" s="16">
      <c r="A21" s="2" t="inlineStr">
        <is>
          <t>TC-18</t>
        </is>
      </c>
      <c r="B21" s="2" t="inlineStr">
        <is>
          <t>FR11</t>
        </is>
      </c>
      <c r="C21" s="2" t="inlineStr">
        <is>
          <t>Định giá vàng theo ngày</t>
        </is>
      </c>
      <c r="D21" s="2" t="inlineStr">
        <is>
          <t>Tạo asset và hai valuation snapshots</t>
        </is>
      </c>
      <c r="E21" s="2" t="inlineStr">
        <is>
          <t>Chart hiển thị giá trị đúng theo từng ngày</t>
        </is>
      </c>
      <c r="F21" s="2" t="inlineStr">
        <is>
          <t>Phạm Nguyễn Tuấn Kiệt</t>
        </is>
      </c>
      <c r="G21" s="2" t="inlineStr">
        <is>
          <t>Nguyễn Thành Trung</t>
        </is>
      </c>
      <c r="H21" s="2" t="inlineStr">
        <is>
          <t>P2</t>
        </is>
      </c>
      <c r="I21" s="2" t="inlineStr">
        <is>
          <t>Not Run</t>
        </is>
      </c>
      <c r="J21" s="2" t="n"/>
    </row>
    <row r="22" ht="62.1" customHeight="1" s="16">
      <c r="A22" s="2" t="inlineStr">
        <is>
          <t>TC-19</t>
        </is>
      </c>
      <c r="B22" s="2" t="inlineStr">
        <is>
          <t>FR12</t>
        </is>
      </c>
      <c r="C22" s="2" t="inlineStr">
        <is>
          <t>Net Worth đúng khi có nợ</t>
        </is>
      </c>
      <c r="D22" s="2" t="inlineStr">
        <is>
          <t>Tạo ví/gold/loan và tính lại SQL</t>
        </is>
      </c>
      <c r="E22" s="2" t="inlineStr">
        <is>
          <t>Assets–Liabilities = UI và API</t>
        </is>
      </c>
      <c r="F22" s="2" t="inlineStr">
        <is>
          <t>Phạm Nguyễn Tuấn Kiệt</t>
        </is>
      </c>
      <c r="G22" s="2" t="inlineStr">
        <is>
          <t>Võ Trịnh Quốc Huy</t>
        </is>
      </c>
      <c r="H22" s="2" t="inlineStr">
        <is>
          <t>P1</t>
        </is>
      </c>
      <c r="I22" s="2" t="inlineStr">
        <is>
          <t>Not Run</t>
        </is>
      </c>
      <c r="J22" s="2" t="n"/>
    </row>
    <row r="23" ht="62.1" customHeight="1" s="16">
      <c r="A23" s="2" t="inlineStr">
        <is>
          <t>TC-20</t>
        </is>
      </c>
      <c r="B23" s="2" t="inlineStr">
        <is>
          <t>FR13</t>
        </is>
      </c>
      <c r="C23" s="2" t="inlineStr">
        <is>
          <t>Income = 0 / saving rate</t>
        </is>
      </c>
      <c r="D23" s="2" t="inlineStr">
        <is>
          <t>Tháng không phát sinh thu</t>
        </is>
      </c>
      <c r="E23" s="2" t="inlineStr">
        <is>
          <t>Hiển thị N/A, không NaN hoặc Infinity</t>
        </is>
      </c>
      <c r="F23" s="2" t="inlineStr">
        <is>
          <t>Phạm Nguyễn Tuấn Kiệt</t>
        </is>
      </c>
      <c r="G23" s="2" t="inlineStr">
        <is>
          <t>Võ Trịnh Quốc Huy</t>
        </is>
      </c>
      <c r="H23" s="2" t="inlineStr">
        <is>
          <t>P1</t>
        </is>
      </c>
      <c r="I23" s="2" t="inlineStr">
        <is>
          <t>Not Run</t>
        </is>
      </c>
      <c r="J23" s="2" t="n"/>
    </row>
    <row r="24" ht="62.1" customHeight="1" s="16">
      <c r="A24" s="2" t="inlineStr">
        <is>
          <t>TC-21</t>
        </is>
      </c>
      <c r="B24" s="2" t="inlineStr">
        <is>
          <t>FR13</t>
        </is>
      </c>
      <c r="C24" s="2" t="inlineStr">
        <is>
          <t>Báo cáo loại reversal/transfer</t>
        </is>
      </c>
      <c r="D24" s="2" t="inlineStr">
        <is>
          <t>Đối chiếu báo cáo tháng với ledger SQL</t>
        </is>
      </c>
      <c r="E24" s="2" t="inlineStr">
        <is>
          <t>Chart/tổng số nhất quán</t>
        </is>
      </c>
      <c r="F24" s="2" t="inlineStr">
        <is>
          <t>Phạm Nguyễn Tuấn Kiệt</t>
        </is>
      </c>
      <c r="G24" s="2" t="inlineStr">
        <is>
          <t>Võ Trịnh Quốc Huy</t>
        </is>
      </c>
      <c r="H24" s="2" t="inlineStr">
        <is>
          <t>P1</t>
        </is>
      </c>
      <c r="I24" s="2" t="inlineStr">
        <is>
          <t>Not Run</t>
        </is>
      </c>
      <c r="J24" s="2" t="n"/>
    </row>
    <row r="25" ht="62.1" customHeight="1" s="16">
      <c r="A25" s="2" t="inlineStr">
        <is>
          <t>TC-22</t>
        </is>
      </c>
      <c r="B25" s="2" t="inlineStr">
        <is>
          <t>FR16</t>
        </is>
      </c>
      <c r="C25" s="2" t="inlineStr">
        <is>
          <t>CSV chứa công thức độc hại</t>
        </is>
      </c>
      <c r="D25" s="2" t="inlineStr">
        <is>
          <t>Tên giao dịch bắt đầu bằng =,+,-,@</t>
        </is>
      </c>
      <c r="E25" s="2" t="inlineStr">
        <is>
          <t>Escape khi mở Excel, file UTF-8 tiếng Việt</t>
        </is>
      </c>
      <c r="F25" s="2" t="inlineStr">
        <is>
          <t>Võ Văn Khôi Nguyên</t>
        </is>
      </c>
      <c r="G25" s="2" t="inlineStr">
        <is>
          <t>Nguyễn Thành Trung</t>
        </is>
      </c>
      <c r="H25" s="2" t="inlineStr">
        <is>
          <t>P1</t>
        </is>
      </c>
      <c r="I25" s="2" t="inlineStr">
        <is>
          <t>Not Run</t>
        </is>
      </c>
      <c r="J25" s="2" t="n"/>
    </row>
    <row r="26" ht="62.1" customHeight="1" s="16">
      <c r="A26" s="2" t="inlineStr">
        <is>
          <t>TC-23</t>
        </is>
      </c>
      <c r="B26" s="2" t="inlineStr">
        <is>
          <t>FR16</t>
        </is>
      </c>
      <c r="C26" s="2" t="inlineStr">
        <is>
          <t>Đối soát mismatch</t>
        </is>
      </c>
      <c r="D26" s="2" t="inlineStr">
        <is>
          <t>Cố tình tạo khác biệt cache/ledger trên DB test</t>
        </is>
      </c>
      <c r="E26" s="2" t="inlineStr">
        <is>
          <t>Server trả mismatch; UI không nói 'khớp' giả</t>
        </is>
      </c>
      <c r="F26" s="2" t="inlineStr">
        <is>
          <t>Võ Văn Khôi Nguyên</t>
        </is>
      </c>
      <c r="G26" s="2" t="inlineStr">
        <is>
          <t>Võ Trịnh Quốc Huy</t>
        </is>
      </c>
      <c r="H26" s="2" t="inlineStr">
        <is>
          <t>P1</t>
        </is>
      </c>
      <c r="I26" s="2" t="inlineStr">
        <is>
          <t>Not Run</t>
        </is>
      </c>
      <c r="J26" s="2" t="n"/>
    </row>
    <row r="27" ht="62.1" customHeight="1" s="16">
      <c r="A27" s="2" t="inlineStr">
        <is>
          <t>TC-24</t>
        </is>
      </c>
      <c r="B27" s="2" t="inlineStr">
        <is>
          <t>FR15</t>
        </is>
      </c>
      <c r="C27" s="2" t="inlineStr">
        <is>
          <t>Admin không xem chi tiết tiền cá nhân</t>
        </is>
      </c>
      <c r="D27" s="2" t="inlineStr">
        <is>
          <t>Admin truy vấn API tài chính user khác</t>
        </is>
      </c>
      <c r="E27" s="2" t="inlineStr">
        <is>
          <t>Từ chối, có audit nếu hành động quản trị</t>
        </is>
      </c>
      <c r="F27" s="2" t="inlineStr">
        <is>
          <t>Võ Trịnh Quốc Huy</t>
        </is>
      </c>
      <c r="G27" s="2" t="inlineStr">
        <is>
          <t>Nguyễn Thành Trung</t>
        </is>
      </c>
      <c r="H27" s="2" t="inlineStr">
        <is>
          <t>P1</t>
        </is>
      </c>
      <c r="I27" s="2" t="inlineStr">
        <is>
          <t>Not Run</t>
        </is>
      </c>
      <c r="J27" s="2" t="n"/>
    </row>
    <row r="28" ht="62.1" customHeight="1" s="16">
      <c r="A28" s="2" t="inlineStr">
        <is>
          <t>TC-25</t>
        </is>
      </c>
      <c r="B28" s="2" t="inlineStr">
        <is>
          <t>NFR02</t>
        </is>
      </c>
      <c r="C28" s="2" t="inlineStr">
        <is>
          <t>Chạy song song SE &amp; LTW</t>
        </is>
      </c>
      <c r="D28" s="2" t="inlineStr">
        <is>
          <t>Start/stop SE 8080/3307, LTW 8000/3306 vẫn chạy</t>
        </is>
      </c>
      <c r="E28" s="2" t="inlineStr">
        <is>
          <t>Không ghi đè htdocs, datadir, DB khác</t>
        </is>
      </c>
      <c r="F28" s="2" t="inlineStr">
        <is>
          <t>Võ Trịnh Quốc Huy</t>
        </is>
      </c>
      <c r="G28" s="2" t="inlineStr">
        <is>
          <t>Nguyễn Thành Trung</t>
        </is>
      </c>
      <c r="H28" s="2" t="inlineStr">
        <is>
          <t>P1</t>
        </is>
      </c>
      <c r="I28" s="2" t="inlineStr">
        <is>
          <t>Not Run</t>
        </is>
      </c>
      <c r="J28" s="2" t="n"/>
    </row>
    <row r="29" ht="62.1" customHeight="1" s="16">
      <c r="A29" s="2" t="inlineStr">
        <is>
          <t>TC-26</t>
        </is>
      </c>
      <c r="B29" s="2" t="inlineStr">
        <is>
          <t>NFR02</t>
        </is>
      </c>
      <c r="C29" s="2" t="inlineStr">
        <is>
          <t>Khởi động lại / migration lặp</t>
        </is>
      </c>
      <c r="D29" s="2" t="inlineStr">
        <is>
          <t>Chạy CHAY_SE.bat 2 lần, restart Windows</t>
        </is>
      </c>
      <c r="E29" s="2" t="inlineStr">
        <is>
          <t>Dữ liệu cũ vẫn tồn tại, migration không DROP</t>
        </is>
      </c>
      <c r="F29" s="2" t="inlineStr">
        <is>
          <t>Võ Trịnh Quốc Huy</t>
        </is>
      </c>
      <c r="G29" s="2" t="inlineStr">
        <is>
          <t>Nguyễn Thành Trung</t>
        </is>
      </c>
      <c r="H29" s="2" t="inlineStr">
        <is>
          <t>P1</t>
        </is>
      </c>
      <c r="I29" s="2" t="inlineStr">
        <is>
          <t>Not Run</t>
        </is>
      </c>
      <c r="J29" s="2" t="n"/>
    </row>
    <row r="30" ht="62.1" customHeight="1" s="16">
      <c r="A30" s="2" t="inlineStr">
        <is>
          <t>TC-27</t>
        </is>
      </c>
      <c r="B30" s="2" t="inlineStr">
        <is>
          <t>NFR01</t>
        </is>
      </c>
      <c r="C30" s="2" t="inlineStr">
        <is>
          <t>Responsive/mobile</t>
        </is>
      </c>
      <c r="D30" s="2" t="inlineStr">
        <is>
          <t>375px, 768px, desktop; form/table/report</t>
        </is>
      </c>
      <c r="E30" s="2" t="inlineStr">
        <is>
          <t>Không vỡ layout hoặc tràn màn hình</t>
        </is>
      </c>
      <c r="F30" s="2" t="inlineStr">
        <is>
          <t>Võ Trịnh Quốc Huy</t>
        </is>
      </c>
      <c r="G30" s="2" t="inlineStr">
        <is>
          <t>Võ Văn Khôi Nguyên</t>
        </is>
      </c>
      <c r="H30" s="2" t="inlineStr">
        <is>
          <t>P2</t>
        </is>
      </c>
      <c r="I30" s="2" t="inlineStr">
        <is>
          <t>Not Run</t>
        </is>
      </c>
      <c r="J30" s="2" t="n"/>
    </row>
    <row r="31" ht="62.1" customHeight="1" s="16">
      <c r="A31" s="2" t="inlineStr">
        <is>
          <t>TC-28</t>
        </is>
      </c>
      <c r="B31" s="2" t="inlineStr">
        <is>
          <t>NFR01</t>
        </is>
      </c>
      <c r="C31" s="2" t="inlineStr">
        <is>
          <t>SQL injection, XSS, null/negative amount</t>
        </is>
      </c>
      <c r="D31" s="2" t="inlineStr">
        <is>
          <t>Nhập chuỗi độc hại và số tiền không hợp lệ</t>
        </is>
      </c>
      <c r="E31" s="2" t="inlineStr">
        <is>
          <t>Backend từ chối 422; output escape; không lộ stack</t>
        </is>
      </c>
      <c r="F31" s="2" t="inlineStr">
        <is>
          <t>Võ Trịnh Quốc Huy</t>
        </is>
      </c>
      <c r="G31" s="2" t="inlineStr">
        <is>
          <t>Phạm Nguyễn Tuấn Kiệt</t>
        </is>
      </c>
      <c r="H31" s="2" t="inlineStr">
        <is>
          <t>P1</t>
        </is>
      </c>
      <c r="I31" s="2" t="inlineStr">
        <is>
          <t>Not Run</t>
        </is>
      </c>
      <c r="J31" s="2" t="n"/>
    </row>
  </sheetData>
  <mergeCells count="2">
    <mergeCell ref="A1:J1"/>
    <mergeCell ref="A2:J2"/>
  </mergeCells>
  <conditionalFormatting sqref="I4:I31">
    <cfRule type="expression" priority="1" dxfId="1">
      <formula>$I4="Pass"</formula>
    </cfRule>
    <cfRule type="expression" priority="2" dxfId="0">
      <formula>$I4="Fail"</formula>
    </cfRule>
  </conditionalFormatting>
  <dataValidations count="1">
    <dataValidation sqref="I4:I31" showDropDown="0" showInputMessage="0" showErrorMessage="0" allowBlank="0" type="list">
      <formula1>"Not Run,Pass,Fail,Blocked"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20" customWidth="1" style="16" min="2" max="3"/>
    <col width="31" customWidth="1" style="16" min="4" max="4"/>
    <col width="66" customWidth="1" style="16" min="5" max="5"/>
    <col width="77" customWidth="1" style="16" min="6" max="6"/>
    <col width="31" customWidth="1" style="16" min="7" max="7"/>
    <col width="74" customWidth="1" style="16" min="8" max="8"/>
  </cols>
  <sheetData>
    <row r="1" ht="39" customHeight="1" s="16">
      <c r="A1" s="12" t="inlineStr">
        <is>
          <t>WEALTHFLOW  |  KẾ HOẠCH 4 SPRINT &amp; GATE</t>
        </is>
      </c>
    </row>
    <row r="2" ht="29.1" customHeight="1" s="16">
      <c r="A2" s="13" t="inlineStr">
        <is>
          <t>Ngày đề xuất để lập kế hoạch, không phải deadline chính thức của giảng viên. Cập nhật trước khi chốt phân công nhóm.</t>
        </is>
      </c>
    </row>
    <row r="4" ht="32.1" customHeight="1" s="16">
      <c r="A4" s="1" t="inlineStr">
        <is>
          <t>Sprint</t>
        </is>
      </c>
      <c r="B4" s="1" t="inlineStr">
        <is>
          <t>Bắt đầu</t>
        </is>
      </c>
      <c r="C4" s="1" t="inlineStr">
        <is>
          <t>Kết thúc</t>
        </is>
      </c>
      <c r="D4" s="1" t="inlineStr">
        <is>
          <t>Tên</t>
        </is>
      </c>
      <c r="E4" s="1" t="inlineStr">
        <is>
          <t>Mục tiêu</t>
        </is>
      </c>
      <c r="F4" s="1" t="inlineStr">
        <is>
          <t>Đầu ra phải có</t>
        </is>
      </c>
      <c r="G4" s="1" t="inlineStr">
        <is>
          <t>Điều phối</t>
        </is>
      </c>
      <c r="H4" s="1" t="inlineStr">
        <is>
          <t>Điều kiện qua Gate</t>
        </is>
      </c>
    </row>
    <row r="5" ht="95.09999999999999" customHeight="1" s="16">
      <c r="A5" s="2" t="inlineStr">
        <is>
          <t>S1</t>
        </is>
      </c>
      <c r="B5" s="4" t="n">
        <v>46314</v>
      </c>
      <c r="C5" s="4" t="n">
        <v>46320</v>
      </c>
      <c r="D5" s="2" t="inlineStr">
        <is>
          <t>Khảo sát &amp; hợp đồng</t>
        </is>
      </c>
      <c r="E5" s="2" t="inlineStr">
        <is>
          <t>Đọc code, chạy baseline, chốt ERD/schema, API contract, auth/OTP, seed</t>
        </is>
      </c>
      <c r="F5" s="2" t="inlineStr">
        <is>
          <t>Baseline report + ERD + data dictionary + test auth + Git convention</t>
        </is>
      </c>
      <c r="G5" s="2" t="inlineStr">
        <is>
          <t>Huy</t>
        </is>
      </c>
      <c r="H5" s="2" t="inlineStr">
        <is>
          <t>Gate: request/response đã chốt và local chạy riêng</t>
        </is>
      </c>
    </row>
    <row r="6" ht="95.09999999999999" customHeight="1" s="16">
      <c r="A6" s="2" t="inlineStr">
        <is>
          <t>S2</t>
        </is>
      </c>
      <c r="B6" s="4" t="n">
        <v>46321</v>
      </c>
      <c r="C6" s="4" t="n">
        <v>46327</v>
      </c>
      <c r="D6" s="2" t="inlineStr">
        <is>
          <t>E2E core finance</t>
        </is>
      </c>
      <c r="E6" s="2" t="inlineStr">
        <is>
          <t>Wallets/categories/transfers/ledger/recurring và budget từ MySQL</t>
        </is>
      </c>
      <c r="F6" s="2" t="inlineStr">
        <is>
          <t>Dữ liệu tạo xong reload còn; test FR03–06 và MySQL thật</t>
        </is>
      </c>
      <c r="G6" s="2" t="inlineStr">
        <is>
          <t>Khôi Nguyên / Tuấn Kiệt</t>
        </is>
      </c>
      <c r="H6" s="2" t="inlineStr">
        <is>
          <t>Gate: không còn số liệu fixture ở module cốt lõi</t>
        </is>
      </c>
    </row>
    <row r="7" ht="95.09999999999999" customHeight="1" s="16">
      <c r="A7" s="2" t="inlineStr">
        <is>
          <t>S3</t>
        </is>
      </c>
      <c r="B7" s="4" t="n">
        <v>46328</v>
      </c>
      <c r="C7" s="4" t="n">
        <v>46334</v>
      </c>
      <c r="D7" s="2" t="inlineStr">
        <is>
          <t>Wealth &amp; Microfinance</t>
        </is>
      </c>
      <c r="E7" s="2" t="inlineStr">
        <is>
          <t>Savings, loans, gold, net worth, report, dashboard API</t>
        </is>
      </c>
      <c r="F7" s="2" t="inlineStr">
        <is>
          <t>KPI tài sản, báo cáo SQL đúng, microfinance có CRUD thật</t>
        </is>
      </c>
      <c r="G7" s="2" t="inlineStr">
        <is>
          <t>Tuấn Kiệt / Huy</t>
        </is>
      </c>
      <c r="H7" s="2" t="inlineStr">
        <is>
          <t>Gate: NetWorth đúng, khoản vay không hạch toán sai</t>
        </is>
      </c>
    </row>
    <row r="8" ht="95.09999999999999" customHeight="1" s="16">
      <c r="A8" s="2" t="inlineStr">
        <is>
          <t>S4</t>
        </is>
      </c>
      <c r="B8" s="4" t="n">
        <v>46335</v>
      </c>
      <c r="C8" s="4" t="n">
        <v>46341</v>
      </c>
      <c r="D8" s="2" t="inlineStr">
        <is>
          <t>QA / Docs / Demo</t>
        </is>
      </c>
      <c r="E8" s="2" t="inlineStr">
        <is>
          <t>E2E, bảo mật, backup, release, SRS/UML và bằng chứng</t>
        </is>
      </c>
      <c r="F8" s="2" t="inlineStr">
        <is>
          <t>PR reviewed, test Pass, file SRS/ERD, demo script</t>
        </is>
      </c>
      <c r="G8" s="2" t="inlineStr">
        <is>
          <t>Cả nhóm; Trung lead docs</t>
        </is>
      </c>
      <c r="H8" s="2" t="inlineStr">
        <is>
          <t>Gate: không có lỗi P1 trước nghiệm thu</t>
        </is>
      </c>
    </row>
    <row r="11" ht="27" customHeight="1" s="16">
      <c r="A11" s="19" t="inlineStr">
        <is>
          <t>CHECKPOINT NHÓM (ĐỀ XUẤT)</t>
        </is>
      </c>
    </row>
    <row r="12" ht="32.1" customHeight="1" s="16">
      <c r="A12" s="1" t="inlineStr">
        <is>
          <t>Thời điểm</t>
        </is>
      </c>
      <c r="B12" s="1" t="inlineStr">
        <is>
          <t>Thời lượng</t>
        </is>
      </c>
      <c r="C12" s="1" t="inlineStr">
        <is>
          <t>Mục tiêu</t>
        </is>
      </c>
      <c r="D12" s="1" t="inlineStr">
        <is>
          <t>Bằng chứng tối thiểu</t>
        </is>
      </c>
      <c r="E12" s="1" t="inlineStr">
        <is>
          <t>Điều phối</t>
        </is>
      </c>
    </row>
    <row r="13" ht="51.95" customHeight="1" s="16">
      <c r="A13" s="2" t="inlineStr">
        <is>
          <t>Thứ 2</t>
        </is>
      </c>
      <c r="B13" s="2" t="inlineStr">
        <is>
          <t>15–20 phút</t>
        </is>
      </c>
      <c r="C13" s="2" t="inlineStr">
        <is>
          <t>Chốt task trong tuần</t>
        </is>
      </c>
      <c r="D13" s="2" t="inlineStr">
        <is>
          <t>Mỗi người chọn task + branch và phụ thuộc</t>
        </is>
      </c>
      <c r="E13" s="2" t="inlineStr">
        <is>
          <t>Huy</t>
        </is>
      </c>
    </row>
    <row r="14" ht="51.95" customHeight="1" s="16">
      <c r="A14" s="2" t="inlineStr">
        <is>
          <t>Thứ 4</t>
        </is>
      </c>
      <c r="B14" s="2" t="inlineStr">
        <is>
          <t>15 phút</t>
        </is>
      </c>
      <c r="C14" s="2" t="inlineStr">
        <is>
          <t>Cập nhật blockers</t>
        </is>
      </c>
      <c r="D14" s="2" t="inlineStr">
        <is>
          <t>Báo API/schema conflict sớm, đẩy PR nhỏ</t>
        </is>
      </c>
      <c r="E14" s="2" t="inlineStr">
        <is>
          <t>Huy &amp; Trung</t>
        </is>
      </c>
    </row>
    <row r="15" ht="51.95" customHeight="1" s="16">
      <c r="A15" s="2" t="inlineStr">
        <is>
          <t>Thứ 7</t>
        </is>
      </c>
      <c r="B15" s="2" t="inlineStr">
        <is>
          <t>30–45 phút</t>
        </is>
      </c>
      <c r="C15" s="2" t="inlineStr">
        <is>
          <t>Sprint review + demo</t>
        </is>
      </c>
      <c r="D15" s="2" t="inlineStr">
        <is>
          <t>Mỗi dev demo thao tác trên DB thật, trình bằng chứng</t>
        </is>
      </c>
      <c r="E15" s="2" t="inlineStr">
        <is>
          <t>4 thành viên</t>
        </is>
      </c>
    </row>
    <row r="16" ht="51.95" customHeight="1" s="16">
      <c r="A16" s="2" t="inlineStr">
        <is>
          <t>Chủ nhật</t>
        </is>
      </c>
      <c r="B16" s="2" t="inlineStr">
        <is>
          <t>30 phút</t>
        </is>
      </c>
      <c r="C16" s="2" t="inlineStr">
        <is>
          <t>Review tài liệu &amp; test</t>
        </is>
      </c>
      <c r="D16" s="2" t="inlineStr">
        <is>
          <t>Trung cập nhật SRS/ERD/Test report; Huy chốt gate</t>
        </is>
      </c>
      <c r="E16" s="2" t="inlineStr">
        <is>
          <t>Trung &amp; Huy</t>
        </is>
      </c>
    </row>
    <row r="19" ht="27" customHeight="1" s="16">
      <c r="A19" s="19" t="inlineStr">
        <is>
          <t>DEFINITION OF DONE – ĐIỀU KIỆN ĐỔI TASK THÀNH DONE</t>
        </is>
      </c>
    </row>
    <row r="20" ht="45" customHeight="1" s="16">
      <c r="A20" s="2" t="inlineStr">
        <is>
          <t>1</t>
        </is>
      </c>
      <c r="B20" s="2" t="inlineStr">
        <is>
          <t>Code đã được PR review &amp; merge, không commit secret vào Git.</t>
        </is>
      </c>
    </row>
    <row r="21" ht="45" customHeight="1" s="16">
      <c r="A21" s="2" t="inlineStr">
        <is>
          <t>2</t>
        </is>
      </c>
      <c r="B21" s="2" t="inlineStr">
        <is>
          <t>Luồng UI → API PHP → MySQL 3307 chạy thành công và không dùng dữ liệu mock để giả làm thành công.</t>
        </is>
      </c>
    </row>
    <row r="22" ht="45" customHeight="1" s="16">
      <c r="A22" s="2" t="inlineStr">
        <is>
          <t>3</t>
        </is>
      </c>
      <c r="B22" s="2" t="inlineStr">
        <is>
          <t>Có ít nhất 1 happy path + 1 negative path; 2 user test isolation với mọi tính năng tài chính.</t>
        </is>
      </c>
    </row>
    <row r="23" ht="45" customHeight="1" s="16">
      <c r="A23" s="2" t="inlineStr">
        <is>
          <t>4</t>
        </is>
      </c>
      <c r="B23" s="2" t="inlineStr">
        <is>
          <t>Không phá luồng ví/giao dịch/ngân sách sau merge; có rollback/backup khi migration.</t>
        </is>
      </c>
    </row>
    <row r="24" ht="45" customHeight="1" s="16">
      <c r="A24" s="2" t="inlineStr">
        <is>
          <t>5</t>
        </is>
      </c>
      <c r="B24" s="2" t="inlineStr">
        <is>
          <t>Có video/ảnh test, link PR và cập nhật task + tài liệu liên quan.</t>
        </is>
      </c>
    </row>
  </sheetData>
  <mergeCells count="4">
    <mergeCell ref="A2:H2"/>
    <mergeCell ref="A19:H19"/>
    <mergeCell ref="A11:H11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style="16" min="1" max="1"/>
    <col width="69" customWidth="1" style="16" min="2" max="2"/>
    <col width="75" customWidth="1" style="16" min="3" max="3"/>
    <col width="34" customWidth="1" style="16" min="4" max="4"/>
    <col width="22" customWidth="1" style="16" min="5" max="5"/>
    <col width="84" customWidth="1" style="16" min="6" max="6"/>
    <col width="15" customWidth="1" style="16" min="7" max="7"/>
  </cols>
  <sheetData>
    <row r="1" ht="39" customHeight="1" s="16">
      <c r="A1" s="12" t="inlineStr">
        <is>
          <t>WEALTHFLOW  |  TÀI LIỆU, GIT WORKFLOW &amp; NGUỒN KIỂM CHỨNG</t>
        </is>
      </c>
    </row>
    <row r="2" ht="29.1" customHeight="1" s="16">
      <c r="A2" s="13" t="inlineStr">
        <is>
          <t>Có thể chép checklist này vào docs/ và dùng làm mục lục cho báo cáo cuối kỳ. Đây là danh mục cần tạo/cập nhật, KHÔNG khẳng định file đã tồn tại.</t>
        </is>
      </c>
    </row>
    <row r="4" ht="32.1" customHeight="1" s="16">
      <c r="A4" s="1" t="inlineStr">
        <is>
          <t>ID</t>
        </is>
      </c>
      <c r="B4" s="1" t="inlineStr">
        <is>
          <t>File đề xuất</t>
        </is>
      </c>
      <c r="C4" s="1" t="inlineStr">
        <is>
          <t>Nội dung</t>
        </is>
      </c>
      <c r="D4" s="1" t="inlineStr">
        <is>
          <t>Chủ trì</t>
        </is>
      </c>
      <c r="E4" s="1" t="inlineStr">
        <is>
          <t>Sprint</t>
        </is>
      </c>
      <c r="F4" s="1" t="inlineStr">
        <is>
          <t>Tiêu chí chất lượng</t>
        </is>
      </c>
    </row>
    <row r="5" ht="53.1" customHeight="1" s="16">
      <c r="A5" s="2" t="inlineStr">
        <is>
          <t>DOC-01</t>
        </is>
      </c>
      <c r="B5" s="2" t="inlineStr">
        <is>
          <t>docs/implementation-status.md</t>
        </is>
      </c>
      <c r="C5" s="2" t="inlineStr">
        <is>
          <t>Baseline tính năng / fixture / API / E2E</t>
        </is>
      </c>
      <c r="D5" s="2" t="inlineStr">
        <is>
          <t>Huy</t>
        </is>
      </c>
      <c r="E5" s="2" t="inlineStr">
        <is>
          <t>S1</t>
        </is>
      </c>
      <c r="F5" s="2" t="inlineStr">
        <is>
          <t>UI nào đã chạy thật; evidence screenshot; commit hash</t>
        </is>
      </c>
    </row>
    <row r="6" ht="53.1" customHeight="1" s="16">
      <c r="A6" s="2" t="inlineStr">
        <is>
          <t>DOC-02</t>
        </is>
      </c>
      <c r="B6" s="2" t="inlineStr">
        <is>
          <t>docs/SRS.md</t>
        </is>
      </c>
      <c r="C6" s="2" t="inlineStr">
        <is>
          <t>IEEE 830 (rút gọn phù hợp phạm vi)</t>
        </is>
      </c>
      <c r="D6" s="2" t="inlineStr">
        <is>
          <t>Trung</t>
        </is>
      </c>
      <c r="E6" s="2" t="inlineStr">
        <is>
          <t>S4</t>
        </is>
      </c>
      <c r="F6" s="2" t="inlineStr">
        <is>
          <t>Mục tiêu, actor, FR/NFR, constraints, use case, business rules</t>
        </is>
      </c>
    </row>
    <row r="7" ht="53.1" customHeight="1" s="16">
      <c r="A7" s="2" t="inlineStr">
        <is>
          <t>DOC-03</t>
        </is>
      </c>
      <c r="B7" s="2" t="inlineStr">
        <is>
          <t>docs/erd.mmd, docs/erd.png</t>
        </is>
      </c>
      <c r="C7" s="2" t="inlineStr">
        <is>
          <t>ERD và khóa/ràng buộc</t>
        </is>
      </c>
      <c r="D7" s="2" t="inlineStr">
        <is>
          <t>Trung</t>
        </is>
      </c>
      <c r="E7" s="2" t="inlineStr">
        <is>
          <t>S1/S4</t>
        </is>
      </c>
      <c r="F7" s="2" t="inlineStr">
        <is>
          <t>Schema thực + type PK/FK/cardinality, không giả tên bảng</t>
        </is>
      </c>
    </row>
    <row r="8" ht="53.1" customHeight="1" s="16">
      <c r="A8" s="2" t="inlineStr">
        <is>
          <t>DOC-04</t>
        </is>
      </c>
      <c r="B8" s="2" t="inlineStr">
        <is>
          <t>docs/data-dictionary.md</t>
        </is>
      </c>
      <c r="C8" s="2" t="inlineStr">
        <is>
          <t>Từ điển dữ liệu</t>
        </is>
      </c>
      <c r="D8" s="2" t="inlineStr">
        <is>
          <t>Trung</t>
        </is>
      </c>
      <c r="E8" s="2" t="inlineStr">
        <is>
          <t>S1/S4</t>
        </is>
      </c>
      <c r="F8" s="2" t="inlineStr">
        <is>
          <t>Entity/field/type/nullable/default/index, ownership</t>
        </is>
      </c>
    </row>
    <row r="9" ht="53.1" customHeight="1" s="16">
      <c r="A9" s="2" t="inlineStr">
        <is>
          <t>DOC-05</t>
        </is>
      </c>
      <c r="B9" s="2" t="inlineStr">
        <is>
          <t>docs/api-contract.md</t>
        </is>
      </c>
      <c r="C9" s="2" t="inlineStr">
        <is>
          <t>Hợp đồng API PHP/JSON</t>
        </is>
      </c>
      <c r="D9" s="2" t="inlineStr">
        <is>
          <t>Huy</t>
        </is>
      </c>
      <c r="E9" s="2" t="inlineStr">
        <is>
          <t>S1</t>
        </is>
      </c>
      <c r="F9" s="2" t="inlineStr">
        <is>
          <t>Path/method/body/response/error/auth/role, mẫu request/response</t>
        </is>
      </c>
    </row>
    <row r="10" ht="53.1" customHeight="1" s="16">
      <c r="A10" s="2" t="inlineStr">
        <is>
          <t>DOC-06</t>
        </is>
      </c>
      <c r="B10" s="2" t="inlineStr">
        <is>
          <t>docs/finance-rules.md</t>
        </is>
      </c>
      <c r="C10" s="2" t="inlineStr">
        <is>
          <t>Quy tắc kế toán/logic</t>
        </is>
      </c>
      <c r="D10" s="2" t="inlineStr">
        <is>
          <t>Tuấn Kiệt, Trung hỗ trợ</t>
        </is>
      </c>
      <c r="E10" s="2" t="inlineStr">
        <is>
          <t>S1/S3</t>
        </is>
      </c>
      <c r="F10" s="2" t="inlineStr">
        <is>
          <t>BR01–BR12; nguồn số liệu, các ngoại lệ, cách tính</t>
        </is>
      </c>
    </row>
    <row r="11" ht="53.1" customHeight="1" s="16">
      <c r="A11" s="2" t="inlineStr">
        <is>
          <t>DOC-07</t>
        </is>
      </c>
      <c r="B11" s="2" t="inlineStr">
        <is>
          <t>docs/uml/</t>
        </is>
      </c>
      <c r="C11" s="2" t="inlineStr">
        <is>
          <t>Use Case, Activity, Sequence, Component</t>
        </is>
      </c>
      <c r="D11" s="2" t="inlineStr">
        <is>
          <t>Trung</t>
        </is>
      </c>
      <c r="E11" s="2" t="inlineStr">
        <is>
          <t>S4</t>
        </is>
      </c>
      <c r="F11" s="2" t="inlineStr">
        <is>
          <t>Đăng nhập, thu-chi, ngân sách, mục tiêu, vay/nhắc nợ</t>
        </is>
      </c>
    </row>
    <row r="12" ht="53.1" customHeight="1" s="16">
      <c r="A12" s="2" t="inlineStr">
        <is>
          <t>DOC-08</t>
        </is>
      </c>
      <c r="B12" s="2" t="inlineStr">
        <is>
          <t>docs/db-test-parity.md</t>
        </is>
      </c>
      <c r="C12" s="2" t="inlineStr">
        <is>
          <t>Khác biệt SQLite vs MySQL</t>
        </is>
      </c>
      <c r="D12" s="2" t="inlineStr">
        <is>
          <t>Trung</t>
        </is>
      </c>
      <c r="E12" s="2" t="inlineStr">
        <is>
          <t>S2</t>
        </is>
      </c>
      <c r="F12" s="2" t="inlineStr">
        <is>
          <t>Ràng buộc FK, type DECIMAL và test E2E</t>
        </is>
      </c>
    </row>
    <row r="13" ht="53.1" customHeight="1" s="16">
      <c r="A13" s="2" t="inlineStr">
        <is>
          <t>DOC-09</t>
        </is>
      </c>
      <c r="B13" s="2" t="inlineStr">
        <is>
          <t>docs/test-evidence/</t>
        </is>
      </c>
      <c r="C13" s="2" t="inlineStr">
        <is>
          <t>Test case, screenshot và SQL đối chiếu</t>
        </is>
      </c>
      <c r="D13" s="2" t="inlineStr">
        <is>
          <t>Tất cả (Trung tổng hợp)</t>
        </is>
      </c>
      <c r="E13" s="2" t="inlineStr">
        <is>
          <t>S4</t>
        </is>
      </c>
      <c r="F13" s="2" t="inlineStr">
        <is>
          <t>Pass/fail/bug ID, ảnh minh chứng và ngày test</t>
        </is>
      </c>
    </row>
    <row r="14" ht="53.1" customHeight="1" s="16">
      <c r="A14" s="2" t="inlineStr">
        <is>
          <t>DOC-10</t>
        </is>
      </c>
      <c r="B14" s="2" t="inlineStr">
        <is>
          <t>docs/setup.md</t>
        </is>
      </c>
      <c r="C14" s="2" t="inlineStr">
        <is>
          <t>Cài đặt trên Windows XAMPP</t>
        </is>
      </c>
      <c r="D14" s="2" t="inlineStr">
        <is>
          <t>Huy + Trung</t>
        </is>
      </c>
      <c r="E14" s="2" t="inlineStr">
        <is>
          <t>S4</t>
        </is>
      </c>
      <c r="F14" s="2" t="inlineStr">
        <is>
          <t>SE 8080/3307; không ảnh hưởng LTW 8000/3306</t>
        </is>
      </c>
    </row>
    <row r="15" ht="53.1" customHeight="1" s="16">
      <c r="A15" s="2" t="inlineStr">
        <is>
          <t>DOC-11</t>
        </is>
      </c>
      <c r="B15" s="2" t="inlineStr">
        <is>
          <t>docs/backup-restore.md</t>
        </is>
      </c>
      <c r="C15" s="2" t="inlineStr">
        <is>
          <t>Sao lưu, phục hồi SE MySQL</t>
        </is>
      </c>
      <c r="D15" s="2" t="inlineStr">
        <is>
          <t>Trung</t>
        </is>
      </c>
      <c r="E15" s="2" t="inlineStr">
        <is>
          <t>S3</t>
        </is>
      </c>
      <c r="F15" s="2" t="inlineStr">
        <is>
          <t>Dump/restore thử và logs, không xóa dữ liệu LTW</t>
        </is>
      </c>
    </row>
    <row r="16" ht="53.1" customHeight="1" s="16">
      <c r="A16" s="2" t="inlineStr">
        <is>
          <t>DOC-12</t>
        </is>
      </c>
      <c r="B16" s="2" t="inlineStr">
        <is>
          <t>docs/DEMO.md</t>
        </is>
      </c>
      <c r="C16" s="2" t="inlineStr">
        <is>
          <t>Kịch bản demo 3–5 phút</t>
        </is>
      </c>
      <c r="D16" s="2" t="inlineStr">
        <is>
          <t>Trung + 3 dev</t>
        </is>
      </c>
      <c r="E16" s="2" t="inlineStr">
        <is>
          <t>S4</t>
        </is>
      </c>
      <c r="F16" s="2" t="inlineStr">
        <is>
          <t>Chuỗi auth→wallet→income/expense→budget→loan→report</t>
        </is>
      </c>
    </row>
    <row r="17" ht="53.1" customHeight="1" s="16">
      <c r="A17" s="2" t="inlineStr">
        <is>
          <t>DOC-13</t>
        </is>
      </c>
      <c r="B17" s="2" t="inlineStr">
        <is>
          <t>docs/REPORT.md</t>
        </is>
      </c>
      <c r="C17" s="2" t="inlineStr">
        <is>
          <t>Báo cáo kết quả và đóng góp</t>
        </is>
      </c>
      <c r="D17" s="2" t="inlineStr">
        <is>
          <t>Trung, Huy duyệt</t>
        </is>
      </c>
      <c r="E17" s="2" t="inlineStr">
        <is>
          <t>S4</t>
        </is>
      </c>
      <c r="F17" s="2" t="inlineStr">
        <is>
          <t>Mục tiêu, thiết kế, hiện thực, test, hạn chế, roadmap</t>
        </is>
      </c>
    </row>
    <row r="20" ht="27" customHeight="1" s="16">
      <c r="A20" s="19" t="inlineStr">
        <is>
          <t>GIT FLOW – ÁP DỤNG CHO NHÓM CÓ 3 DEV SONG SONG</t>
        </is>
      </c>
    </row>
    <row r="21" ht="32.1" customHeight="1" s="16">
      <c r="A21" s="1" t="inlineStr">
        <is>
          <t>Bước</t>
        </is>
      </c>
      <c r="B21" s="1" t="inlineStr">
        <is>
          <t>Lệnh/Thao tác</t>
        </is>
      </c>
      <c r="C21" s="1" t="inlineStr">
        <is>
          <t>Nguyên tắc</t>
        </is>
      </c>
      <c r="D21" s="1" t="inlineStr">
        <is>
          <t>Phụ trách</t>
        </is>
      </c>
    </row>
    <row r="22" ht="63" customHeight="1" s="16">
      <c r="A22" s="2" t="inlineStr">
        <is>
          <t>1. Đồng bộ</t>
        </is>
      </c>
      <c r="B22" s="2" t="inlineStr">
        <is>
          <t>git checkout main &amp;&amp; git pull origin main</t>
        </is>
      </c>
      <c r="C22" s="2" t="inlineStr">
        <is>
          <t>Chỉ dùng main làm đường cơ sở; không code trực tiếp lên main</t>
        </is>
      </c>
      <c r="D22" s="2" t="inlineStr">
        <is>
          <t>Trước mỗi task</t>
        </is>
      </c>
    </row>
    <row r="23" ht="63" customHeight="1" s="16">
      <c r="A23" s="2" t="inlineStr">
        <is>
          <t>2. Tạo branch</t>
        </is>
      </c>
      <c r="B23" s="2" t="inlineStr">
        <is>
          <t>git checkout -b feature/tx-04-post-expense</t>
        </is>
      </c>
      <c r="C23" s="2" t="inlineStr">
        <is>
          <t>Tên branch theo ID task; ví dụ feature/plan-06-goals</t>
        </is>
      </c>
      <c r="D23" s="2" t="inlineStr">
        <is>
          <t>Nguyên, Kiệt, Huy</t>
        </is>
      </c>
    </row>
    <row r="24" ht="63" customHeight="1" s="16">
      <c r="A24" s="2" t="inlineStr">
        <is>
          <t>3. Commit</t>
        </is>
      </c>
      <c r="B24" s="2" t="inlineStr">
        <is>
          <t>git add &lt;đường-dẫn-đã-chọn&gt; &amp;&amp; git commit -m "feat(tx): implement posted expense [TX-04]"</t>
        </is>
      </c>
      <c r="C24" s="2" t="inlineStr">
        <is>
          <t>Chỉ add file cần; không `git add .` vô thức với secrets</t>
        </is>
      </c>
      <c r="D24" s="2" t="inlineStr">
        <is>
          <t>Mỗi PR nhỏ</t>
        </is>
      </c>
    </row>
    <row r="25" ht="63" customHeight="1" s="16">
      <c r="A25" s="2" t="inlineStr">
        <is>
          <t>4. Push</t>
        </is>
      </c>
      <c r="B25" s="2" t="inlineStr">
        <is>
          <t>git push -u origin feature/tx-04-post-expense</t>
        </is>
      </c>
      <c r="C25" s="2" t="inlineStr">
        <is>
          <t>Đưa branch lên origin, chưa đụng main</t>
        </is>
      </c>
      <c r="D25" s="2" t="inlineStr">
        <is>
          <t>Dev owner</t>
        </is>
      </c>
    </row>
    <row r="26" ht="63" customHeight="1" s="16">
      <c r="A26" s="2" t="inlineStr">
        <is>
          <t>5. PR</t>
        </is>
      </c>
      <c r="B26" s="2" t="inlineStr">
        <is>
          <t>Open PR → main; mô tả task ID, test, screenshot, migration</t>
        </is>
      </c>
      <c r="C26" s="2" t="inlineStr">
        <is>
          <t>Huy review PHP &amp; giao diện; Trung review SQL; 1 review trước merge</t>
        </is>
      </c>
      <c r="D26" s="2" t="inlineStr">
        <is>
          <t>Dev + reviewer</t>
        </is>
      </c>
    </row>
    <row r="27" ht="63" customHeight="1" s="16">
      <c r="A27" s="2" t="inlineStr">
        <is>
          <t>6. Merge &amp; QA</t>
        </is>
      </c>
      <c r="B27" s="2" t="inlineStr">
        <is>
          <t>Merge PR khi test PASS; `git pull origin main`</t>
        </is>
      </c>
      <c r="C27" s="2" t="inlineStr">
        <is>
          <t>Dùng merge chuẩn; force-push main chỉ khi cả nhóm đồng ý và backup</t>
        </is>
      </c>
      <c r="D27" s="2" t="inlineStr">
        <is>
          <t>Huy</t>
        </is>
      </c>
    </row>
    <row r="28" ht="63" customHeight="1" s="16">
      <c r="A28" s="2" t="inlineStr">
        <is>
          <t>7. Fix conflict</t>
        </is>
      </c>
      <c r="B28" s="2" t="inlineStr">
        <is>
          <t>git fetch origin; git rebase origin/main (trên feature branch)</t>
        </is>
      </c>
      <c r="C28" s="2" t="inlineStr">
        <is>
          <t>Không rebase main, không xóa code người khác; báo owner file xung đột</t>
        </is>
      </c>
      <c r="D28" s="2" t="inlineStr">
        <is>
          <t>Dev liên quan</t>
        </is>
      </c>
    </row>
    <row r="29" ht="63" customHeight="1" s="16">
      <c r="A29" s="2" t="inlineStr">
        <is>
          <t>8. Release</t>
        </is>
      </c>
      <c r="B29" s="2" t="inlineStr">
        <is>
          <t>Tag v0.1-demo sau test; lưu backup SQL</t>
        </is>
      </c>
      <c r="C29" s="2" t="inlineStr">
        <is>
          <t>Kèm danh sách tính năng thật, known issues và bằng chứng</t>
        </is>
      </c>
      <c r="D29" s="2" t="inlineStr">
        <is>
          <t>Huy + Trung</t>
        </is>
      </c>
    </row>
    <row r="32" ht="27" customHeight="1" s="16">
      <c r="A32" s="19" t="inlineStr">
        <is>
          <t>NGUỒN GỐC TỪ GITHUB – KIỂM TRA NGÀY 18/10/2026</t>
        </is>
      </c>
    </row>
    <row r="33" ht="32.1" customHeight="1" s="16">
      <c r="A33" s="1" t="inlineStr">
        <is>
          <t>Nguồn</t>
        </is>
      </c>
      <c r="B33" s="1" t="inlineStr">
        <is>
          <t>Địa chỉ</t>
        </is>
      </c>
      <c r="C33" s="1" t="inlineStr">
        <is>
          <t>Phạm vi xác nhận</t>
        </is>
      </c>
    </row>
    <row r="34" ht="47.1" customHeight="1" s="16">
      <c r="A34" s="2" t="inlineStr">
        <is>
          <t>Repository</t>
        </is>
      </c>
      <c r="B34" s="2" t="inlineStr">
        <is>
          <t>https://github.com/huytothevoz/SE---Microfinance-Personal-Wealth-Expense-Tracker</t>
        </is>
      </c>
      <c r="C34" s="2" t="inlineStr">
        <is>
          <t>Cấu trúc source/docs, scripts chạy SE</t>
        </is>
      </c>
    </row>
    <row r="35" ht="47.1" customHeight="1" s="16">
      <c r="A35" s="2" t="inlineStr">
        <is>
          <t>README</t>
        </is>
      </c>
      <c r="B35" s="2" t="inlineStr">
        <is>
          <t>https://github.com/huytothevoz/SE---Microfinance-Personal-Wealth-Expense-Tracker/blob/main/README.md</t>
        </is>
      </c>
      <c r="C35" s="2" t="inlineStr">
        <is>
          <t>Backend FR03–FR06 unit test; UI mock; cách test</t>
        </is>
      </c>
    </row>
    <row r="36" ht="47.1" customHeight="1" s="16">
      <c r="A36" s="2" t="inlineStr">
        <is>
          <t>Frontend pages</t>
        </is>
      </c>
      <c r="B36" s="2" t="inlineStr">
        <is>
          <t>https://github.com/huytothevoz/SE---Microfinance-Personal-Wealth-Expense-Tracker/blob/main/source/frontend/js/app/pages.js</t>
        </is>
      </c>
      <c r="C36" s="2" t="inlineStr">
        <is>
          <t>Các trang ví, giao dịch, budget, định kỳ, goal, loan, gold, report, admin</t>
        </is>
      </c>
    </row>
    <row r="37" ht="47.1" customHeight="1" s="16">
      <c r="A37" s="2" t="inlineStr">
        <is>
          <t>Backend tests</t>
        </is>
      </c>
      <c r="B37" s="2" t="inlineStr">
        <is>
          <t>https://github.com/huytothevoz/SE---Microfinance-Personal-Wealth-Expense-Tracker/blob/main/source/backend/tests/run_tests.php</t>
        </is>
      </c>
      <c r="C37" s="2" t="inlineStr">
        <is>
          <t>Double-entry, transfer, reversal, FX, threshold, recurring worker</t>
        </is>
      </c>
    </row>
    <row r="38" ht="47.1" customHeight="1" s="16">
      <c r="A38" s="2" t="inlineStr">
        <is>
          <t>Setup guide</t>
        </is>
      </c>
      <c r="B38" s="2" t="inlineStr">
        <is>
          <t>https://github.com/huytothevoz/SE---Microfinance-Personal-Wealth-Expense-Tracker/blob/main/HUONG_DAN.txt</t>
        </is>
      </c>
      <c r="C38" s="2" t="inlineStr">
        <is>
          <t>PHP 8080 + MySQL 3307 chạy độc lập, an toàn LTW</t>
        </is>
      </c>
    </row>
    <row r="41" ht="27" customHeight="1" s="16">
      <c r="A41" s="19" t="inlineStr">
        <is>
          <t>RISKS &amp; QUY TẮC AN TOÀN DỰ ÁN</t>
        </is>
      </c>
    </row>
    <row r="42" ht="32.1" customHeight="1" s="16">
      <c r="A42" s="1" t="inlineStr">
        <is>
          <t>Mã</t>
        </is>
      </c>
      <c r="B42" s="1" t="inlineStr">
        <is>
          <t>Rủi ro</t>
        </is>
      </c>
      <c r="C42" s="1" t="inlineStr">
        <is>
          <t>Biện pháp</t>
        </is>
      </c>
    </row>
    <row r="43" ht="53.1" customHeight="1" s="16">
      <c r="A43" s="2" t="inlineStr">
        <is>
          <t>R1</t>
        </is>
      </c>
      <c r="B43" s="2" t="inlineStr">
        <is>
          <t>Mock data giả hoàn thiện</t>
        </is>
      </c>
      <c r="C43" s="2" t="inlineStr">
        <is>
          <t>Bỏ fixture theo module sau khi API chạy; demo chỉ số thực; ghi rõ giới hạn</t>
        </is>
      </c>
    </row>
    <row r="44" ht="53.1" customHeight="1" s="16">
      <c r="A44" s="2" t="inlineStr">
        <is>
          <t>R2</t>
        </is>
      </c>
      <c r="B44" s="2" t="inlineStr">
        <is>
          <t>Xung đột Git trong pages.js</t>
        </is>
      </c>
      <c r="C44" s="2" t="inlineStr">
        <is>
          <t>Tách module khi triển khai; dùng branch nhỏ và leader điều phối merge</t>
        </is>
      </c>
    </row>
    <row r="45" ht="53.1" customHeight="1" s="16">
      <c r="A45" s="2" t="inlineStr">
        <is>
          <t>R3</t>
        </is>
      </c>
      <c r="B45" s="2" t="inlineStr">
        <is>
          <t>Lỗi khác biệt SQLite/MySQL</t>
        </is>
      </c>
      <c r="C45" s="2" t="inlineStr">
        <is>
          <t>Chạy tests cả hai, kiểm FK/DECIMAL và rollback DB khi thất bại</t>
        </is>
      </c>
    </row>
    <row r="46" ht="53.1" customHeight="1" s="16">
      <c r="A46" s="2" t="inlineStr">
        <is>
          <t>R4</t>
        </is>
      </c>
      <c r="B46" s="2" t="inlineStr">
        <is>
          <t>Setup xóa htdocs/DB LTW</t>
        </is>
      </c>
      <c r="C46" s="2" t="inlineStr">
        <is>
          <t>Chỉ dùng runner mới; không chạy setup cũ; bảo toàn 3306 và project LTW</t>
        </is>
      </c>
    </row>
    <row r="47" ht="53.1" customHeight="1" s="16">
      <c r="A47" s="2" t="inlineStr">
        <is>
          <t>R5</t>
        </is>
      </c>
      <c r="B47" s="2" t="inlineStr">
        <is>
          <t>Dữ liệu tài chính người khác</t>
        </is>
      </c>
      <c r="C47" s="2" t="inlineStr">
        <is>
          <t>Always derive userId from session; test IDOR; không commit secrets</t>
        </is>
      </c>
    </row>
    <row r="48" ht="53.1" customHeight="1" s="16">
      <c r="A48" s="2" t="inlineStr">
        <is>
          <t>R6</t>
        </is>
      </c>
      <c r="B48" s="2" t="inlineStr">
        <is>
          <t>Ghi nhận khoản vay sai</t>
        </is>
      </c>
      <c r="C48" s="2" t="inlineStr">
        <is>
          <t>Nhận tiền vay không phải income; trả gốc không phải expense; double-count net worth</t>
        </is>
      </c>
    </row>
    <row r="49" ht="53.1" customHeight="1" s="16">
      <c r="A49" s="2" t="inlineStr">
        <is>
          <t>R7</t>
        </is>
      </c>
      <c r="B49" s="2" t="inlineStr">
        <is>
          <t>Tiến độ ảo / quá tải leader</t>
        </is>
      </c>
      <c r="C49" s="2" t="inlineStr">
        <is>
          <t>Mỗi task cần PR + testcase; Huy review không ôm tất cả module tài chính</t>
        </is>
      </c>
    </row>
  </sheetData>
  <mergeCells count="5">
    <mergeCell ref="A32:G32"/>
    <mergeCell ref="A1:G1"/>
    <mergeCell ref="A20:G20"/>
    <mergeCell ref="A2:G2"/>
    <mergeCell ref="A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2026-10-17T20:11:00Z</dcterms:created>
  <dcterms:modified xmlns:dcterms="http://purl.org/dc/terms/" xmlns:xsi="http://www.w3.org/2001/XMLSchema-instance" xsi:type="dcterms:W3CDTF">2026-10-18T16:28:06Z</dcterms:modified>
</cp:coreProperties>
</file>